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8E707EE7-28BB-4DB5-8877-4882DCCCBA89}" xr6:coauthVersionLast="47" xr6:coauthVersionMax="47" xr10:uidLastSave="{00000000-0000-0000-0000-000000000000}"/>
  <bookViews>
    <workbookView xWindow="17764" yWindow="-118" windowWidth="21181" windowHeight="11311" xr2:uid="{7AE70C04-F77D-4B60-BB57-85E0702DB99F}"/>
  </bookViews>
  <sheets>
    <sheet name="comercial_diets_ecuador" sheetId="1" r:id="rId1"/>
  </sheets>
  <definedNames>
    <definedName name="_xlnm._FilterDatabase" localSheetId="0" hidden="1">comercial_diets_ecuador!$A$1:$U$117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7" i="1" l="1"/>
  <c r="L67" i="1"/>
  <c r="M67" i="1"/>
  <c r="N67" i="1"/>
  <c r="O67" i="1"/>
  <c r="K68" i="1"/>
  <c r="L68" i="1"/>
  <c r="M68" i="1"/>
  <c r="N68" i="1"/>
  <c r="O68" i="1"/>
  <c r="K69" i="1"/>
  <c r="M69" i="1" s="1"/>
  <c r="L69" i="1"/>
  <c r="N69" i="1" s="1"/>
  <c r="O69" i="1" s="1"/>
  <c r="K70" i="1"/>
  <c r="L70" i="1"/>
  <c r="M70" i="1"/>
  <c r="N70" i="1"/>
  <c r="O70" i="1"/>
  <c r="K71" i="1"/>
  <c r="L71" i="1"/>
  <c r="M71" i="1"/>
  <c r="N71" i="1"/>
  <c r="O71" i="1" s="1"/>
  <c r="K72" i="1"/>
  <c r="L72" i="1"/>
  <c r="M72" i="1"/>
  <c r="N72" i="1"/>
  <c r="O72" i="1"/>
  <c r="K73" i="1"/>
  <c r="L73" i="1"/>
  <c r="M73" i="1"/>
  <c r="N73" i="1"/>
  <c r="O73" i="1"/>
  <c r="K74" i="1"/>
  <c r="M74" i="1" s="1"/>
  <c r="N74" i="1" s="1"/>
  <c r="O74" i="1" s="1"/>
  <c r="L74" i="1"/>
  <c r="K75" i="1"/>
  <c r="L75" i="1"/>
  <c r="M75" i="1"/>
  <c r="N75" i="1"/>
  <c r="O75" i="1"/>
  <c r="K76" i="1"/>
  <c r="L76" i="1"/>
  <c r="N76" i="1" s="1"/>
  <c r="O76" i="1" s="1"/>
  <c r="M76" i="1"/>
  <c r="K77" i="1"/>
  <c r="L77" i="1"/>
  <c r="M77" i="1"/>
  <c r="N77" i="1"/>
  <c r="O77" i="1"/>
  <c r="K78" i="1"/>
  <c r="L78" i="1"/>
  <c r="M78" i="1"/>
  <c r="N78" i="1"/>
  <c r="O78" i="1"/>
  <c r="K79" i="1"/>
  <c r="L79" i="1"/>
  <c r="M79" i="1"/>
  <c r="N79" i="1"/>
  <c r="O79" i="1"/>
  <c r="K80" i="1"/>
  <c r="L80" i="1"/>
  <c r="M80" i="1"/>
  <c r="N80" i="1"/>
  <c r="O80" i="1"/>
  <c r="K81" i="1"/>
  <c r="M81" i="1" s="1"/>
  <c r="L81" i="1"/>
  <c r="N81" i="1" s="1"/>
  <c r="O81" i="1" s="1"/>
  <c r="K82" i="1"/>
  <c r="L82" i="1"/>
  <c r="M82" i="1"/>
  <c r="N82" i="1"/>
  <c r="O82" i="1"/>
  <c r="K83" i="1"/>
  <c r="L83" i="1"/>
  <c r="M83" i="1"/>
  <c r="N83" i="1"/>
  <c r="O83" i="1" s="1"/>
  <c r="K84" i="1"/>
  <c r="L84" i="1"/>
  <c r="M84" i="1"/>
  <c r="N84" i="1"/>
  <c r="O84" i="1"/>
  <c r="K85" i="1"/>
  <c r="L85" i="1"/>
  <c r="M85" i="1"/>
  <c r="N85" i="1"/>
  <c r="O85" i="1"/>
  <c r="K86" i="1"/>
  <c r="M86" i="1" s="1"/>
  <c r="L86" i="1"/>
  <c r="N86" i="1" s="1"/>
  <c r="O86" i="1" s="1"/>
  <c r="K87" i="1"/>
  <c r="L87" i="1"/>
  <c r="M87" i="1"/>
  <c r="N87" i="1"/>
  <c r="O87" i="1"/>
  <c r="K88" i="1"/>
  <c r="L88" i="1"/>
  <c r="N88" i="1" s="1"/>
  <c r="O88" i="1" s="1"/>
  <c r="M88" i="1"/>
  <c r="K89" i="1"/>
  <c r="L89" i="1"/>
  <c r="M89" i="1"/>
  <c r="N89" i="1"/>
  <c r="O89" i="1"/>
  <c r="K90" i="1"/>
  <c r="L90" i="1"/>
  <c r="M90" i="1"/>
  <c r="N90" i="1"/>
  <c r="O90" i="1"/>
  <c r="K91" i="1"/>
  <c r="L91" i="1"/>
  <c r="M91" i="1"/>
  <c r="N91" i="1"/>
  <c r="O91" i="1"/>
  <c r="K92" i="1"/>
  <c r="L92" i="1"/>
  <c r="M92" i="1"/>
  <c r="N92" i="1"/>
  <c r="O92" i="1"/>
  <c r="K93" i="1"/>
  <c r="M93" i="1" s="1"/>
  <c r="L93" i="1"/>
  <c r="N93" i="1" s="1"/>
  <c r="O93" i="1" s="1"/>
  <c r="K94" i="1"/>
  <c r="L94" i="1"/>
  <c r="M94" i="1"/>
  <c r="N94" i="1"/>
  <c r="O94" i="1"/>
  <c r="K95" i="1"/>
  <c r="L95" i="1"/>
  <c r="M95" i="1"/>
  <c r="N95" i="1"/>
  <c r="O95" i="1" s="1"/>
  <c r="K96" i="1"/>
  <c r="L96" i="1"/>
  <c r="M96" i="1"/>
  <c r="N96" i="1"/>
  <c r="O96" i="1"/>
  <c r="K97" i="1"/>
  <c r="L97" i="1"/>
  <c r="M97" i="1"/>
  <c r="N97" i="1"/>
  <c r="O97" i="1"/>
  <c r="K98" i="1"/>
  <c r="M98" i="1" s="1"/>
  <c r="N98" i="1" s="1"/>
  <c r="O98" i="1" s="1"/>
  <c r="L98" i="1"/>
  <c r="K99" i="1"/>
  <c r="L99" i="1"/>
  <c r="M99" i="1"/>
  <c r="N99" i="1"/>
  <c r="O99" i="1"/>
  <c r="K100" i="1"/>
  <c r="L100" i="1"/>
  <c r="N100" i="1" s="1"/>
  <c r="O100" i="1" s="1"/>
  <c r="M100" i="1"/>
  <c r="K101" i="1"/>
  <c r="L101" i="1"/>
  <c r="M101" i="1"/>
  <c r="N101" i="1"/>
  <c r="O101" i="1"/>
  <c r="K102" i="1"/>
  <c r="L102" i="1"/>
  <c r="M102" i="1"/>
  <c r="N102" i="1"/>
  <c r="O102" i="1"/>
  <c r="K103" i="1"/>
  <c r="L103" i="1"/>
  <c r="M103" i="1"/>
  <c r="N103" i="1"/>
  <c r="O103" i="1"/>
  <c r="K104" i="1"/>
  <c r="L104" i="1"/>
  <c r="M104" i="1"/>
  <c r="N104" i="1"/>
  <c r="O104" i="1"/>
  <c r="K105" i="1"/>
  <c r="M105" i="1" s="1"/>
  <c r="L105" i="1"/>
  <c r="N105" i="1" s="1"/>
  <c r="O105" i="1" s="1"/>
  <c r="K106" i="1"/>
  <c r="L106" i="1"/>
  <c r="M106" i="1"/>
  <c r="N106" i="1"/>
  <c r="O106" i="1"/>
  <c r="K107" i="1"/>
  <c r="L107" i="1"/>
  <c r="M107" i="1"/>
  <c r="N107" i="1"/>
  <c r="O107" i="1" s="1"/>
  <c r="K108" i="1"/>
  <c r="L108" i="1"/>
  <c r="M108" i="1"/>
  <c r="N108" i="1"/>
  <c r="O108" i="1"/>
  <c r="K109" i="1"/>
  <c r="L109" i="1"/>
  <c r="M109" i="1"/>
  <c r="N109" i="1"/>
  <c r="O109" i="1"/>
  <c r="K110" i="1"/>
  <c r="M110" i="1" s="1"/>
  <c r="N110" i="1" s="1"/>
  <c r="O110" i="1" s="1"/>
  <c r="L110" i="1"/>
  <c r="K111" i="1"/>
  <c r="L111" i="1"/>
  <c r="M111" i="1"/>
  <c r="N111" i="1"/>
  <c r="O111" i="1"/>
  <c r="K112" i="1"/>
  <c r="L112" i="1"/>
  <c r="N112" i="1" s="1"/>
  <c r="O112" i="1" s="1"/>
  <c r="M112" i="1"/>
  <c r="K113" i="1"/>
  <c r="L113" i="1"/>
  <c r="M113" i="1"/>
  <c r="N113" i="1"/>
  <c r="O113" i="1"/>
  <c r="K114" i="1"/>
  <c r="L114" i="1"/>
  <c r="M114" i="1"/>
  <c r="N114" i="1"/>
  <c r="O114" i="1"/>
  <c r="K115" i="1"/>
  <c r="L115" i="1"/>
  <c r="M115" i="1"/>
  <c r="N115" i="1"/>
  <c r="O115" i="1"/>
  <c r="K116" i="1"/>
  <c r="L116" i="1"/>
  <c r="M116" i="1"/>
  <c r="N116" i="1"/>
  <c r="O116" i="1"/>
  <c r="K117" i="1"/>
  <c r="M117" i="1" s="1"/>
  <c r="L117" i="1"/>
  <c r="N117" i="1" s="1"/>
  <c r="O117" i="1" s="1"/>
  <c r="K59" i="1"/>
  <c r="M59" i="1" s="1"/>
  <c r="L59" i="1"/>
  <c r="K60" i="1"/>
  <c r="M60" i="1" s="1"/>
  <c r="L60" i="1"/>
  <c r="K61" i="1"/>
  <c r="M61" i="1" s="1"/>
  <c r="L61" i="1"/>
  <c r="N61" i="1" s="1"/>
  <c r="O61" i="1" s="1"/>
  <c r="K62" i="1"/>
  <c r="M62" i="1" s="1"/>
  <c r="L62" i="1"/>
  <c r="N62" i="1" s="1"/>
  <c r="O62" i="1" s="1"/>
  <c r="K63" i="1"/>
  <c r="M63" i="1" s="1"/>
  <c r="L63" i="1"/>
  <c r="K64" i="1"/>
  <c r="L64" i="1"/>
  <c r="M64" i="1"/>
  <c r="N64" i="1"/>
  <c r="O64" i="1" s="1"/>
  <c r="K65" i="1"/>
  <c r="M65" i="1" s="1"/>
  <c r="L65" i="1"/>
  <c r="N65" i="1" s="1"/>
  <c r="O65" i="1" s="1"/>
  <c r="K66" i="1"/>
  <c r="M66" i="1" s="1"/>
  <c r="L66" i="1"/>
  <c r="K3" i="1"/>
  <c r="M3" i="1" s="1"/>
  <c r="L3" i="1"/>
  <c r="K4" i="1"/>
  <c r="M4" i="1" s="1"/>
  <c r="L4" i="1"/>
  <c r="K5" i="1"/>
  <c r="M5" i="1" s="1"/>
  <c r="L5" i="1"/>
  <c r="N5" i="1" s="1"/>
  <c r="O5" i="1" s="1"/>
  <c r="K6" i="1"/>
  <c r="L6" i="1"/>
  <c r="M6" i="1"/>
  <c r="N6" i="1"/>
  <c r="O6" i="1"/>
  <c r="K7" i="1"/>
  <c r="M7" i="1" s="1"/>
  <c r="L7" i="1"/>
  <c r="K8" i="1"/>
  <c r="M8" i="1" s="1"/>
  <c r="L8" i="1"/>
  <c r="K9" i="1"/>
  <c r="M9" i="1" s="1"/>
  <c r="L9" i="1"/>
  <c r="K10" i="1"/>
  <c r="M10" i="1" s="1"/>
  <c r="L10" i="1"/>
  <c r="K11" i="1"/>
  <c r="M11" i="1" s="1"/>
  <c r="L11" i="1"/>
  <c r="K12" i="1"/>
  <c r="M12" i="1" s="1"/>
  <c r="L12" i="1"/>
  <c r="K13" i="1"/>
  <c r="M13" i="1" s="1"/>
  <c r="L13" i="1"/>
  <c r="K14" i="1"/>
  <c r="M14" i="1" s="1"/>
  <c r="L14" i="1"/>
  <c r="K15" i="1"/>
  <c r="M15" i="1" s="1"/>
  <c r="L15" i="1"/>
  <c r="K16" i="1"/>
  <c r="M16" i="1" s="1"/>
  <c r="L16" i="1"/>
  <c r="K17" i="1"/>
  <c r="M17" i="1" s="1"/>
  <c r="L17" i="1"/>
  <c r="K18" i="1"/>
  <c r="M18" i="1" s="1"/>
  <c r="L18" i="1"/>
  <c r="K19" i="1"/>
  <c r="M19" i="1" s="1"/>
  <c r="L19" i="1"/>
  <c r="K20" i="1"/>
  <c r="M20" i="1" s="1"/>
  <c r="L20" i="1"/>
  <c r="K21" i="1"/>
  <c r="M21" i="1" s="1"/>
  <c r="L21" i="1"/>
  <c r="K22" i="1"/>
  <c r="M22" i="1" s="1"/>
  <c r="L22" i="1"/>
  <c r="K23" i="1"/>
  <c r="M23" i="1" s="1"/>
  <c r="L23" i="1"/>
  <c r="K24" i="1"/>
  <c r="M24" i="1" s="1"/>
  <c r="L24" i="1"/>
  <c r="K25" i="1"/>
  <c r="M25" i="1" s="1"/>
  <c r="L25" i="1"/>
  <c r="K26" i="1"/>
  <c r="M26" i="1" s="1"/>
  <c r="L26" i="1"/>
  <c r="K27" i="1"/>
  <c r="M27" i="1" s="1"/>
  <c r="L27" i="1"/>
  <c r="K28" i="1"/>
  <c r="M28" i="1" s="1"/>
  <c r="L28" i="1"/>
  <c r="K29" i="1"/>
  <c r="M29" i="1" s="1"/>
  <c r="L29" i="1"/>
  <c r="K30" i="1"/>
  <c r="M30" i="1" s="1"/>
  <c r="L30" i="1"/>
  <c r="K31" i="1"/>
  <c r="M31" i="1" s="1"/>
  <c r="L31" i="1"/>
  <c r="K32" i="1"/>
  <c r="M32" i="1" s="1"/>
  <c r="L32" i="1"/>
  <c r="K33" i="1"/>
  <c r="M33" i="1" s="1"/>
  <c r="L33" i="1"/>
  <c r="K34" i="1"/>
  <c r="M34" i="1" s="1"/>
  <c r="L34" i="1"/>
  <c r="K35" i="1"/>
  <c r="M35" i="1" s="1"/>
  <c r="L35" i="1"/>
  <c r="K36" i="1"/>
  <c r="M36" i="1" s="1"/>
  <c r="L36" i="1"/>
  <c r="K37" i="1"/>
  <c r="M37" i="1" s="1"/>
  <c r="L37" i="1"/>
  <c r="K38" i="1"/>
  <c r="M38" i="1" s="1"/>
  <c r="L38" i="1"/>
  <c r="K39" i="1"/>
  <c r="M39" i="1" s="1"/>
  <c r="L39" i="1"/>
  <c r="K40" i="1"/>
  <c r="M40" i="1" s="1"/>
  <c r="L40" i="1"/>
  <c r="K41" i="1"/>
  <c r="M41" i="1" s="1"/>
  <c r="L41" i="1"/>
  <c r="K42" i="1"/>
  <c r="M42" i="1" s="1"/>
  <c r="L42" i="1"/>
  <c r="K43" i="1"/>
  <c r="M43" i="1" s="1"/>
  <c r="L43" i="1"/>
  <c r="K44" i="1"/>
  <c r="M44" i="1" s="1"/>
  <c r="L44" i="1"/>
  <c r="K45" i="1"/>
  <c r="M45" i="1" s="1"/>
  <c r="L45" i="1"/>
  <c r="K46" i="1"/>
  <c r="M46" i="1" s="1"/>
  <c r="L46" i="1"/>
  <c r="K47" i="1"/>
  <c r="M47" i="1" s="1"/>
  <c r="L47" i="1"/>
  <c r="K48" i="1"/>
  <c r="M48" i="1" s="1"/>
  <c r="L48" i="1"/>
  <c r="K49" i="1"/>
  <c r="M49" i="1" s="1"/>
  <c r="L49" i="1"/>
  <c r="K50" i="1"/>
  <c r="M50" i="1" s="1"/>
  <c r="L50" i="1"/>
  <c r="K51" i="1"/>
  <c r="M51" i="1" s="1"/>
  <c r="L51" i="1"/>
  <c r="K52" i="1"/>
  <c r="M52" i="1" s="1"/>
  <c r="L52" i="1"/>
  <c r="K53" i="1"/>
  <c r="M53" i="1" s="1"/>
  <c r="L53" i="1"/>
  <c r="K54" i="1"/>
  <c r="M54" i="1" s="1"/>
  <c r="L54" i="1"/>
  <c r="K55" i="1"/>
  <c r="M55" i="1" s="1"/>
  <c r="L55" i="1"/>
  <c r="K56" i="1"/>
  <c r="M56" i="1" s="1"/>
  <c r="L56" i="1"/>
  <c r="K57" i="1"/>
  <c r="M57" i="1" s="1"/>
  <c r="L57" i="1"/>
  <c r="K58" i="1"/>
  <c r="M58" i="1" s="1"/>
  <c r="L58" i="1"/>
  <c r="N58" i="1" s="1"/>
  <c r="O58" i="1" s="1"/>
  <c r="L2" i="1"/>
  <c r="K2" i="1"/>
  <c r="M2" i="1" s="1"/>
  <c r="N59" i="1" l="1"/>
  <c r="O59" i="1" s="1"/>
  <c r="N21" i="1"/>
  <c r="O21" i="1" s="1"/>
  <c r="N63" i="1"/>
  <c r="O63" i="1" s="1"/>
  <c r="N66" i="1"/>
  <c r="O66" i="1" s="1"/>
  <c r="N9" i="1"/>
  <c r="O9" i="1" s="1"/>
  <c r="N60" i="1"/>
  <c r="O60" i="1" s="1"/>
  <c r="N20" i="1"/>
  <c r="O20" i="1" s="1"/>
  <c r="N45" i="1"/>
  <c r="O45" i="1" s="1"/>
  <c r="N13" i="1"/>
  <c r="O13" i="1" s="1"/>
  <c r="N34" i="1"/>
  <c r="O34" i="1" s="1"/>
  <c r="N23" i="1"/>
  <c r="O23" i="1" s="1"/>
  <c r="N38" i="1"/>
  <c r="O38" i="1" s="1"/>
  <c r="N22" i="1"/>
  <c r="O22" i="1" s="1"/>
  <c r="N50" i="1"/>
  <c r="O50" i="1" s="1"/>
  <c r="N46" i="1"/>
  <c r="O46" i="1" s="1"/>
  <c r="N55" i="1"/>
  <c r="O55" i="1" s="1"/>
  <c r="N33" i="1"/>
  <c r="O33" i="1" s="1"/>
  <c r="N26" i="1"/>
  <c r="O26" i="1" s="1"/>
  <c r="N11" i="1"/>
  <c r="O11" i="1" s="1"/>
  <c r="N49" i="1"/>
  <c r="O49" i="1" s="1"/>
  <c r="N35" i="1"/>
  <c r="O35" i="1" s="1"/>
  <c r="N7" i="1"/>
  <c r="O7" i="1" s="1"/>
  <c r="N31" i="1"/>
  <c r="O31" i="1" s="1"/>
  <c r="N57" i="1"/>
  <c r="O57" i="1" s="1"/>
  <c r="N44" i="1"/>
  <c r="O44" i="1" s="1"/>
  <c r="N19" i="1"/>
  <c r="O19" i="1" s="1"/>
  <c r="N18" i="1"/>
  <c r="O18" i="1" s="1"/>
  <c r="N47" i="1"/>
  <c r="O47" i="1" s="1"/>
  <c r="N42" i="1"/>
  <c r="O42" i="1" s="1"/>
  <c r="N32" i="1"/>
  <c r="O32" i="1" s="1"/>
  <c r="N4" i="1"/>
  <c r="O4" i="1" s="1"/>
  <c r="N2" i="1"/>
  <c r="O2" i="1" s="1"/>
  <c r="N40" i="1"/>
  <c r="O40" i="1" s="1"/>
  <c r="N15" i="1"/>
  <c r="O15" i="1" s="1"/>
  <c r="N30" i="1"/>
  <c r="O30" i="1" s="1"/>
  <c r="N14" i="1"/>
  <c r="O14" i="1" s="1"/>
  <c r="N52" i="1"/>
  <c r="O52" i="1" s="1"/>
  <c r="N43" i="1"/>
  <c r="O43" i="1" s="1"/>
  <c r="N25" i="1"/>
  <c r="O25" i="1" s="1"/>
  <c r="N56" i="1"/>
  <c r="O56" i="1" s="1"/>
  <c r="N28" i="1"/>
  <c r="O28" i="1" s="1"/>
  <c r="N37" i="1"/>
  <c r="O37" i="1" s="1"/>
  <c r="N16" i="1"/>
  <c r="O16" i="1" s="1"/>
  <c r="N54" i="1"/>
  <c r="O54" i="1" s="1"/>
  <c r="N8" i="1"/>
  <c r="O8" i="1" s="1"/>
  <c r="N3" i="1"/>
  <c r="O3" i="1" s="1"/>
  <c r="N10" i="1"/>
  <c r="O10" i="1" s="1"/>
  <c r="N51" i="1"/>
  <c r="O51" i="1" s="1"/>
  <c r="N48" i="1"/>
  <c r="O48" i="1" s="1"/>
  <c r="N39" i="1"/>
  <c r="O39" i="1" s="1"/>
  <c r="N36" i="1"/>
  <c r="O36" i="1" s="1"/>
  <c r="N27" i="1"/>
  <c r="O27" i="1" s="1"/>
  <c r="N24" i="1"/>
  <c r="O24" i="1" s="1"/>
  <c r="N12" i="1"/>
  <c r="O12" i="1" s="1"/>
  <c r="N53" i="1"/>
  <c r="O53" i="1" s="1"/>
  <c r="N41" i="1"/>
  <c r="O41" i="1" s="1"/>
  <c r="N29" i="1"/>
  <c r="O29" i="1" s="1"/>
  <c r="N17" i="1"/>
  <c r="O17" i="1" s="1"/>
</calcChain>
</file>

<file path=xl/sharedStrings.xml><?xml version="1.0" encoding="utf-8"?>
<sst xmlns="http://schemas.openxmlformats.org/spreadsheetml/2006/main" count="1065" uniqueCount="641">
  <si>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</si>
  <si>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</si>
  <si>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</si>
  <si>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</si>
  <si>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</si>
  <si>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</si>
  <si>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</si>
  <si>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</si>
  <si>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</si>
  <si>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</si>
  <si>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</si>
  <si>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</si>
  <si>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</si>
  <si>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</si>
  <si>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</si>
  <si>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</si>
  <si>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</si>
  <si>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</si>
  <si>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</si>
  <si>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</si>
  <si>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</si>
  <si>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</si>
  <si>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</si>
  <si>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</si>
  <si>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</si>
  <si>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</si>
  <si>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</si>
  <si>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</si>
  <si>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</si>
  <si>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</si>
  <si>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</si>
  <si>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</si>
  <si>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</si>
  <si>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</si>
  <si>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</si>
  <si>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</si>
  <si>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</si>
  <si>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</si>
  <si>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</si>
  <si>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</si>
  <si>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</si>
  <si>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</si>
  <si>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</si>
  <si>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</si>
  <si>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</si>
  <si>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</si>
  <si>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</si>
  <si>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</si>
  <si>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</si>
  <si>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</si>
  <si>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Arroz; Maíz; Pulpa de remolacha</t>
  </si>
  <si>
    <t>Levadura de cerveza</t>
  </si>
  <si>
    <t>Aceite de salmón</t>
  </si>
  <si>
    <t>Grasa de pollo; Aceite de pescado</t>
  </si>
  <si>
    <t>Grasa animal y/o vegetal</t>
  </si>
  <si>
    <t>Grasa de pollo</t>
  </si>
  <si>
    <t>Levadura de cerveza seca</t>
  </si>
  <si>
    <t>Cloruro de potasio</t>
  </si>
  <si>
    <t>Harina de subproductos de pollo; Producto de huevo seco</t>
  </si>
  <si>
    <t>Harina de maíz; Trigo integral molido; Sorgo integral molido; Arroz de cervecería; Pulpa de remolacha seca</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</si>
  <si>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</si>
  <si>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</si>
  <si>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</si>
  <si>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</si>
  <si>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</si>
  <si>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</si>
  <si>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</si>
  <si>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</si>
  <si>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</si>
  <si>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</si>
  <si>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</si>
  <si>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</si>
  <si>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Grasas animales; Aceite de pescado; Aceite de soja</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</si>
  <si>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</si>
  <si>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</si>
  <si>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</si>
  <si>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</si>
  <si>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</si>
  <si>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</si>
  <si>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</si>
  <si>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</si>
  <si>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Cachorro-Razas pequeñas</t>
  </si>
  <si>
    <t>Harina de pollo; Coproductos de procesamiento de aves; Pasta de soya; Gluten de maíz; Grasa animal y/o vegetal; Maíz; Coproductos de trigo; Coproductos de arroz; Pulpa de remolacha; Levadura de cerveza</t>
  </si>
  <si>
    <t>Harina de pollo; Coproductos de procesamiento de aves; Pasta de soya; Gluten de maíz</t>
  </si>
  <si>
    <t>Maíz; Coproductos de trigo; Coproductos de arroz; Pulpa de remolacha</t>
  </si>
  <si>
    <t>Cachorro-Razas medianas &amp; Grandes</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</si>
  <si>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</si>
  <si>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</si>
  <si>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</si>
  <si>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Nutri Blance</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</si>
  <si>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</si>
  <si>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</si>
  <si>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</si>
  <si>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</si>
  <si>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</si>
  <si>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</si>
  <si>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</si>
  <si>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</si>
  <si>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</si>
  <si>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</si>
  <si>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</si>
  <si>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</si>
  <si>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</si>
  <si>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</si>
  <si>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</si>
  <si>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</si>
  <si>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</si>
  <si>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</si>
  <si>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</si>
  <si>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</si>
  <si>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</si>
  <si>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</si>
  <si>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</si>
  <si>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</si>
  <si>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</si>
  <si>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</si>
  <si>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</si>
  <si>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</si>
  <si>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</si>
  <si>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</si>
  <si>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</si>
  <si>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</si>
  <si>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</si>
  <si>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</si>
  <si>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</si>
  <si>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</si>
  <si>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</si>
  <si>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</si>
  <si>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</si>
  <si>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</si>
  <si>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</si>
  <si>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</si>
  <si>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</si>
  <si>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</si>
  <si>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</si>
  <si>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</si>
  <si>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</si>
  <si>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</si>
  <si>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</si>
  <si>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</si>
  <si>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</si>
  <si>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</si>
  <si>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Cachorros Todas las razas</t>
  </si>
  <si>
    <t>Harina de cerdo; Pasta de soya; Soya en grano; Hidrolizado de pollo; Aceite de pollo; Trigo y/o subproductos; Arrocillo; Afrecho de trigo; Maíz; Afrecho de malta</t>
  </si>
  <si>
    <t>Harina de cerdo; Pasta de soya; Soya en grano; Hidrolizado de pollo</t>
  </si>
  <si>
    <t>Trigo y/o subproductos; Arrocillo; Afrecho de trigo; Maíz; Afrecho de malta</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</si>
  <si>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</si>
  <si>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</si>
  <si>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</si>
  <si>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</si>
  <si>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</si>
  <si>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</si>
  <si>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</si>
  <si>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</si>
  <si>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</si>
  <si>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</si>
  <si>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</si>
  <si>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</si>
  <si>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</si>
  <si>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</si>
  <si>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</si>
  <si>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</si>
  <si>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</si>
  <si>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</si>
  <si>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</si>
  <si>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</si>
  <si>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</si>
  <si>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</si>
  <si>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</si>
  <si>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</si>
  <si>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</si>
  <si>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</si>
  <si>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</si>
  <si>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</si>
  <si>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</si>
  <si>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</si>
  <si>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</si>
  <si>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</si>
  <si>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</si>
  <si>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Cachorro-Razas miniaturas y pequeñas</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</si>
  <si>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</si>
  <si>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</si>
  <si>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</si>
  <si>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</si>
  <si>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</si>
  <si>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</si>
  <si>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</si>
  <si>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</si>
  <si>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</si>
  <si>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</si>
  <si>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</si>
  <si>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</si>
  <si>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</si>
  <si>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</si>
  <si>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</si>
  <si>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</si>
  <si>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</si>
  <si>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</si>
  <si>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</si>
  <si>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</si>
  <si>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</si>
  <si>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</si>
  <si>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</si>
  <si>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</si>
  <si>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</si>
  <si>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</si>
  <si>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</si>
  <si>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</si>
  <si>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</si>
  <si>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</si>
  <si>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</si>
  <si>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</si>
  <si>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</si>
  <si>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</si>
  <si>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</si>
  <si>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</si>
  <si>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</si>
  <si>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</si>
  <si>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</si>
  <si>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EUKANUBA PUPPY LARGE BREED</t>
  </si>
  <si>
    <t>EUKANUBA</t>
  </si>
  <si>
    <t>Cachorro de razas grandes o perros mestizos que en su etapa adulta pesan más de 25 kg (razas grandes) o más de 50 kg (razas gigantes).</t>
  </si>
  <si>
    <t>Harina de subproductos de pollo; Producto de huevo seco; Grasa de pollo; Aceite de pescado; Harina de maíz; Trigo integral molido; Sorgo integral molido; Arroz de cervecería; Pulpa de remolacha seca; Sabor natural a cerdo y/o pollo (hidrolizado de subproductos de cerdo y/o pollo)</t>
  </si>
  <si>
    <t>Sabor natural a cerdo y/o pollo (hidrolizado de subproductos de cerdo y/o pollo)</t>
  </si>
  <si>
    <t>Cachorros entre 1 y 12 meses de edad, de razas medianas como Bulldog Francés, Beagle, Bretón, Cocker, Boxer, Schnauzer Standard y otras razas o perros mestizos que en su etapa adulta pesan entre 10 y 25 kg.</t>
  </si>
  <si>
    <t>Harina de subproductos de pollo; Producto de huevo seco; Grasa de pollo; Aceite de pescado; Harina de maíz; Trigo integral molido; Arroz de cervecería; Pulpa de remolacha seca; Fosfato dicálcico; Sabor natural a cerdo y/o pollo</t>
  </si>
  <si>
    <t>Harina de maíz; Trigo integral molido; Arroz de cervecería; Pulpa de remolacha seca</t>
  </si>
  <si>
    <t>Fosfato dicálcico; Sabor natural a cerdo y/o pollo (hidrolizado de hígado de cerdo y/o pollo)</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</si>
  <si>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</si>
  <si>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</si>
  <si>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</si>
  <si>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</si>
  <si>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</si>
  <si>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</si>
  <si>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</si>
  <si>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</si>
  <si>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</si>
  <si>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</si>
  <si>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</si>
  <si>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</si>
  <si>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</si>
  <si>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</si>
  <si>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</si>
  <si>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</si>
  <si>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</si>
  <si>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</si>
  <si>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</si>
  <si>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</si>
  <si>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</si>
  <si>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</si>
  <si>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</si>
  <si>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</si>
  <si>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</si>
  <si>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</si>
  <si>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</si>
  <si>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Ownat Classic Kitten</t>
  </si>
  <si>
    <t>Gatitos de 1 a 12 meses</t>
  </si>
  <si>
    <t>Carnes deshidratadas; Pollo fresco; Proteína de maíz; Guisantes enteros; Pescado deshidratado; Proteína hidrolizada de pollo; Grasa de pollo; Arroz integral; Cebada integral; Maíz integral; Levadura de cerveza</t>
  </si>
  <si>
    <t>Carnes deshidratadas; Pollo fresco; Proteína de maíz; Guisantes enteros; Pescado deshidratado; Proteína hidrolizada de pollo</t>
  </si>
  <si>
    <t>Arroz integral; Cebada integral; Maíz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</si>
  <si>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</si>
  <si>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</si>
  <si>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</si>
  <si>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</si>
  <si>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</si>
  <si>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</si>
  <si>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</si>
  <si>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</si>
  <si>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</si>
  <si>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</si>
  <si>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</si>
  <si>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Ownat Grain Free Junior</t>
  </si>
  <si>
    <t>Cachorros (de 2-3 meses hasta el final de la fase de crecimiento) con sensibilidad o intolerancia relacionada con el pollo</t>
  </si>
  <si>
    <t>Cordero fresco; Carne de cerdo deshidratada; Guisantes enteros; Cordero deshidratado; Pescado deshidratado; Grasa animal; Raíces de yuca; Patata deshidratada; Vainas de algarroba; Levadura de cerveza</t>
  </si>
  <si>
    <t>Cordero fresco; Carne de cerdo deshidratada; Guisantes enteros; Cordero deshidratado; Pescado deshidratado</t>
  </si>
  <si>
    <t>Raíces de yuca; Patata deshidratada; Vainas de algarroba</t>
  </si>
  <si>
    <t>Ownat Grain Free</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</si>
  <si>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</si>
  <si>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</si>
  <si>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</si>
  <si>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</si>
  <si>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</si>
  <si>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</si>
  <si>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</si>
  <si>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</si>
  <si>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</si>
  <si>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</si>
  <si>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</si>
  <si>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</si>
  <si>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SHIH TZU puppy</t>
  </si>
  <si>
    <t>Cachorro SHIH TZU Hata los 10 meses de edad</t>
  </si>
  <si>
    <t>Proteínas de ave deshidratadas; Aislado de proteínas vegetales; Hidrolizado de proteínas animales; Grasas animales; Aceite de pescado; Aceite de soja; Arroz; Maíz; Pulpa de remolacha; Minerales</t>
  </si>
  <si>
    <t>Proteínas de ave deshidratadas; Aislado de proteínas vegetales; Hidrolizado de proteínas animales</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</si>
  <si>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</si>
  <si>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</si>
  <si>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</si>
  <si>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</si>
  <si>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</si>
  <si>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Royal Canin DERMACOMFORT Medium</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</si>
  <si>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</si>
  <si>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</si>
  <si>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</si>
  <si>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</si>
  <si>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</si>
  <si>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Royal Canin Adulto Chihuahua</t>
  </si>
  <si>
    <t>Adulto Chihuahua</t>
  </si>
  <si>
    <t>Proteína de carne de ave deshidratada; Gluten de trigo; Proteína animal hidrolizada; Grasas animales; Aceite de pescado; Aceite de soja; Arroz; Maíz; Pulpa de remolacha; Sales minerales</t>
  </si>
  <si>
    <t>Proteína de carne de ave deshidratada; Gluten de trigo; Proteína animal hidrolizada</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</si>
  <si>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</si>
  <si>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</si>
  <si>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</si>
  <si>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</si>
  <si>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</si>
  <si>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</si>
  <si>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</si>
  <si>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</si>
  <si>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</si>
  <si>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</si>
  <si>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</si>
  <si>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</si>
  <si>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</si>
  <si>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</si>
  <si>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</si>
  <si>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</si>
  <si>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</si>
  <si>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Bosch Mini Junior</t>
  </si>
  <si>
    <t>Cachorro Razas pequeñas (hasta 15 kg)</t>
  </si>
  <si>
    <t>Ave fresca; Proteínas de aves de corral secas; Hidrolizado de proteínas; Harina de pescado; Grasa de aves de corral; Semillas de linaza; Maíz; Arroz; Mijo; Pulpa de remolacha</t>
  </si>
  <si>
    <t>Ave fresca; Proteínas de aves de corral secas; Hidrolizado de proteínas; Harina de pescado</t>
  </si>
  <si>
    <t>Grasa de aves de corral; Semillas de linaza</t>
  </si>
  <si>
    <t>Maíz; Arroz;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</si>
  <si>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</si>
  <si>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</si>
  <si>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</si>
  <si>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</si>
  <si>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</si>
  <si>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</si>
  <si>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</si>
  <si>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</si>
  <si>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</si>
  <si>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</si>
  <si>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</si>
  <si>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</si>
  <si>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</si>
  <si>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</si>
  <si>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</si>
  <si>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</si>
  <si>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</si>
  <si>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</si>
  <si>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</si>
  <si>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</si>
  <si>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</si>
  <si>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</si>
  <si>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</si>
  <si>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</si>
  <si>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</si>
  <si>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</si>
  <si>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</si>
  <si>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Kitten Persian</t>
  </si>
  <si>
    <t>Gatitos de raza Persa (hasta los 12 meses de edad).</t>
  </si>
  <si>
    <t>Proteínas de ave de corral deshidratadas; Gluten de trigo; Proteínas animales hidrolizadas; Grasas animales; Arroz; Maíz; Fibras vegetales; Pulpa de remolacha; Productos de levaduras; Sustancias minerales</t>
  </si>
  <si>
    <t>Proteínas de ave de corral deshidratadas; Gluten de trigo; Proteínas animales hidrolizadas</t>
  </si>
  <si>
    <t>Productos de levaduras; Sustancias minerales</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</si>
  <si>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</si>
  <si>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</si>
  <si>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</si>
  <si>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</si>
  <si>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</si>
  <si>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</si>
  <si>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</si>
  <si>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</si>
  <si>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</si>
  <si>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</si>
  <si>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</si>
  <si>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</si>
  <si>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</si>
  <si>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</si>
  <si>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</si>
  <si>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</si>
  <si>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</si>
  <si>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</si>
  <si>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</si>
  <si>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</si>
  <si>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</si>
  <si>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</si>
  <si>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</si>
  <si>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</si>
  <si>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Buen Can</t>
  </si>
  <si>
    <t xml:space="preserve">Cachorros </t>
  </si>
  <si>
    <t>Maíz, pasta de soya, trigo, harina de pollo, afrechillo de trigo, aceite de pollo, soya en grano, arroz partido, atractante-saborizante, levadura de cerveza</t>
  </si>
  <si>
    <t>Maíz; Trigo; Afrechillo de trigo; Arroz partido</t>
  </si>
  <si>
    <t>Atractante-saborizante; Levadura de cerveza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</si>
  <si>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</si>
  <si>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</si>
  <si>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</si>
  <si>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</si>
  <si>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</si>
  <si>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</si>
  <si>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</si>
  <si>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</si>
  <si>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</si>
  <si>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</si>
  <si>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Cachorros razas medianas y grandes</t>
  </si>
  <si>
    <t>Harina de pollo, arroz, maíz, núcleo nutra pro cachorros (pulpa de remolacha), levadura de cerveza,  huevo en polvo, premix vitamínico mineral (vitaminas A, D, E, K3, B1, B2, B6, B12, niacina, pantotenato de calcio, ácido fólico, vitamina C, hierro, zinc, manganeso, selenio, yodo, cobalto, cloruro de potasio, antioxidante), gluten de maíz, trigo y/o subproductos, aceite de pollo,</t>
  </si>
  <si>
    <t>Harina de pollo; Huevo en polvo; Gluten de maíz</t>
  </si>
  <si>
    <t>Núcleo Nutra Pro Cachorros; Levadura de cerveza; Premix vitamínico mineral</t>
  </si>
  <si>
    <t>Cachorros razas pequeñas y miniaturas</t>
  </si>
  <si>
    <t xml:space="preserve">Harina de pollo, maíz, arroz, gluten de maíz, núcleo nutra pro cachorros (pulpa de remolacha, levadura de cerveza, huevo en polvo), premix vitamínico mineral (vitaminas A, D, E, K3, B1, B2, B6, B12, niacina, pantotenato de calcio, ácido fólico, vitamina C, hierro, zinc, manganeso, selenio, yodo, cobalto, cloruro de potasio, antioxidante), trigo y/o subproductos, aceite de pollo, hidrolizado pollo y/o cerdo, leche en polvo, </t>
  </si>
  <si>
    <t>Harina de pollo; Huevo en polvo; Gluten de maíz; Hidrolizado pollo y/o cerdo; Leche en polvo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</si>
  <si>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</si>
  <si>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</si>
  <si>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</si>
  <si>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</si>
  <si>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</si>
  <si>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</si>
  <si>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Cachorros Razas Medianas y Grandes</t>
  </si>
  <si>
    <t xml:space="preserve">Harina de salmón, harina de pollo, almidón de yuca, aceite de pollo, hidrolizado de pollo y cerdo,
levadura de cerveza, aceite de pescado, extracto de proteína de coproductos de caña de azúcar, zeolita,plasma bovino
</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</si>
  <si>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</si>
  <si>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</si>
  <si>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</si>
  <si>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</si>
  <si>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Cachorros</t>
  </si>
  <si>
    <t>Harina de pollo, arroz, salvado de trigo, pulpa de remolacha, maíz, aceite de pollo hidrolizado proteico, aceite de pescado de mar (fuente de ácidos grasos Omega 3 y 6) saborizante, levadura, taurina</t>
  </si>
  <si>
    <t>Harina de pollo; Hidrolizado proteico</t>
  </si>
  <si>
    <t>Arroz; Salvado de trigo; Pulpa de remolacha; Maíz</t>
  </si>
  <si>
    <t>Saborizante; Levadura; Taurina</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</si>
  <si>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</si>
  <si>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</si>
  <si>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</si>
  <si>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</si>
  <si>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</si>
  <si>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NutraPro Gatitos y Gatos</t>
  </si>
  <si>
    <t>Cachorro/adulto</t>
  </si>
  <si>
    <t>Carne de pollo y salmón congelados, maíz, harina de subproductos de pollo, trigo, harina de gluten de maíz, Celulosa, Acidificante, Metionina,  Premezcla vitamínico-mineral</t>
  </si>
  <si>
    <t>Carne de pollo y salmón congelados; Harina de subproductos de pollo; Harina de gluten de maíz</t>
  </si>
  <si>
    <t>Maíz; Trigo; Celulosa</t>
  </si>
  <si>
    <t>Acidificante; Metionina; Premezcla vitamínico-mineral</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</si>
  <si>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</si>
  <si>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</si>
  <si>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</si>
  <si>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</si>
  <si>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</si>
  <si>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Grasa vacuna y/o aceite de pollo</t>
  </si>
  <si>
    <t>Arroz; Maíz</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</si>
  <si>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</si>
  <si>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</si>
  <si>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</si>
  <si>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</si>
  <si>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</si>
  <si>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</si>
  <si>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</si>
  <si>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</si>
  <si>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</si>
  <si>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</si>
  <si>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</si>
  <si>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</si>
  <si>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</si>
  <si>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Mambo</t>
  </si>
  <si>
    <t xml:space="preserve">Cachorro </t>
  </si>
  <si>
    <t>Maíz, harina de pollo, trigo, pasta de soya, DDGS, aceite vegetal, aceite de pollo, afrechillo de trigo, carbonato de calcio, pulpa de remolacha</t>
  </si>
  <si>
    <t>Aceite vegetal; Aceite de pollo</t>
  </si>
  <si>
    <t>Maíz; Trigo; DDGS; Afrechillo de trigo; Pulpa de remolacha</t>
  </si>
  <si>
    <t>Carbonato de calcio</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</si>
  <si>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</si>
  <si>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</si>
  <si>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</si>
  <si>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</si>
  <si>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</si>
  <si>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</si>
  <si>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</si>
  <si>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</si>
  <si>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</si>
  <si>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</si>
  <si>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</si>
  <si>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</si>
  <si>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</si>
  <si>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</si>
  <si>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</si>
  <si>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</si>
  <si>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</si>
  <si>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</si>
  <si>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</si>
  <si>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Taste of the Wild</t>
  </si>
  <si>
    <t>Diamond Pet Foods</t>
  </si>
  <si>
    <t xml:space="preserve">Adulto </t>
  </si>
  <si>
    <t>pato, harina de pato, harina de pollo, batatas, guisantes, papas, grasa de pollo, producto de huevo, pato asado, harina de pescado oceánico.</t>
  </si>
  <si>
    <t>Pato; Harina de pato; Harina de pollo; Producto de huevo; Pato asado; Harina de pescado oceánico; Guisantes</t>
  </si>
  <si>
    <t>Batatas; Papas</t>
  </si>
  <si>
    <t>Taste of the Wild Wetlands Canine Recipe Con Pato Asado Adulto Razas Medianas y Grandes</t>
  </si>
  <si>
    <t>Pato, Harina de pato, Harina de pollo, Camote, Chicharro, papas, grasa de pollo (preservada con tocoferoles mixtos), productos de huevo de gallina, saborizante natural (pollo), harina de pescado.</t>
  </si>
  <si>
    <t>Pato; Harina de pato; Harina de pollo; Chícharo; Productos de huevo de gallina; Harina de pescado</t>
  </si>
  <si>
    <t>Camote; Papas</t>
  </si>
  <si>
    <t>Saborizante natural (pollo)</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</si>
  <si>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</si>
  <si>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</si>
  <si>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</si>
  <si>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</si>
  <si>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 xml:space="preserve">Harina de subproductos de pollo, arroz, maíz, grasa animal , trigo, aceite de pescado, pulpa de remolacha, proteínas de ave deshidratadas, proteína vegetales aisladas, hidrolizado de proteínas animales, minerales. </t>
  </si>
  <si>
    <t>Harina de subproductos de pollo; Proteínas de ave deshidratadas; Proteínas vegetales aisladas; Hidrolizado de proteínas animales</t>
  </si>
  <si>
    <t>Grasa animal; Aceite de pescado</t>
  </si>
  <si>
    <t>Arroz; Maíz; Trigo; Pulpa de remolacha</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</si>
  <si>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</si>
  <si>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</si>
  <si>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</si>
  <si>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</si>
  <si>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</si>
  <si>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</si>
  <si>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</si>
  <si>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</si>
  <si>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</si>
  <si>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</si>
  <si>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Arroz, proteínas de ave deshidratadas, gluten de trigo, harina de maíz, grasas animales, aislado de proteínas vegetales, pulpa de remolacha, aceite de pescado, minerales, fructooligosacáridos</t>
  </si>
  <si>
    <t>Proteínas de aves deshidratadas; Gluten de trigo; Aislado de proteínas vegetales</t>
  </si>
  <si>
    <t>Arroz; Harina de maíz; Pulpa de remolacha; Fructooligosacáridos (FOS)</t>
  </si>
  <si>
    <t>Harina de subproductos de pollo, gluten de maíz, cebada, hidrolizado de proteína de soja purificada, fibras vegetales, grasa de ave, hidrolizado de hígado de ave, pulpa de remolacha, arroz, granos de psyllium</t>
  </si>
  <si>
    <t>Harina de subproductos de pollo; Gluten de maíz; Hidrolizado de proteína de soya purificada; Hidrolizado de hígado de ave</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</si>
  <si>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</si>
  <si>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</si>
  <si>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</si>
  <si>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</si>
  <si>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Cachorros (4–12 meses)</t>
  </si>
  <si>
    <t xml:space="preserve">Arroz cervecero,Grasa de pollo,Gluten de trigo,Saborizantes naturales / proteínas animales hidrolizadas,Maíz,Gluten de maíz,Huevo deshidratado,Pulpa de remolacha seca </t>
  </si>
  <si>
    <t>Gluten de trigo; Proteínas animales hidrolizadas; Gluten de maíz; Huevo deshidratado</t>
  </si>
  <si>
    <t>Arroz cervecero; Maíz; Pulpa de remolacha seca</t>
  </si>
  <si>
    <t>Saborizantes naturales</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</si>
  <si>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</si>
  <si>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</si>
  <si>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</si>
  <si>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</si>
  <si>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</si>
  <si>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</si>
  <si>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</si>
  <si>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</si>
  <si>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Cachorro/esterilizado</t>
  </si>
  <si>
    <t xml:space="preserve">Adultos Diabetic </t>
  </si>
  <si>
    <t>Adulto Hairball</t>
  </si>
  <si>
    <t>Pro Plan Reduced Calorie</t>
  </si>
  <si>
    <t xml:space="preserve">Pro Plan </t>
  </si>
  <si>
    <t xml:space="preserve">Nestlé Purina </t>
  </si>
  <si>
    <t>Adulto razas grandes</t>
  </si>
  <si>
    <t>Carne de pollo congelada, maíz, harina de subproductos de pollo, trigo, arroz, gluten de maíz, aceite de pollo y/o grasa vacuna preservadados con tocoferoles (fuente de vitamina E), hidrolizado (polvo y/o liquido) a base de subproducctos de pollo y/o cerdo,sal, carbonato y/ofosfato cálcico</t>
  </si>
  <si>
    <t>Carne de pollo congelada; Harina de subproductos de pollo; Gluten de maíz; Hidrolizado a base de subproductos de pollo y/o cerdo</t>
  </si>
  <si>
    <t>Maíz; Trigo; Arroz</t>
  </si>
  <si>
    <t>Sal; Carbonato y/o fosfato bicálcico</t>
  </si>
  <si>
    <t>Adulto razas pequeñas</t>
  </si>
  <si>
    <t>Carne de Pollo, Arroz, Harina de Subproductos de Pollo, Maíz, Harina de Gluten de Maíz, Grasa Vacuna y/o Aceite de Pollo Preservados con Tocoferoles Mezaclados (fuente de vitamina E), Trigo, Digesto Animal (A Base de Subproductos de Pollo y/o Porcino),Carbonato de Calcio y/o Fosfato Bicalcico, Cloruro de Potasio</t>
  </si>
  <si>
    <t>Carne de pollo; Harina de subproductos de pollo; Harina de gluten de maíz</t>
  </si>
  <si>
    <t>Arroz; Maíz; Trigo</t>
  </si>
  <si>
    <t>Digesto animal; Carbonato de calcio y/o fosfato bicálcico; Cloruro de potasio</t>
  </si>
  <si>
    <t>Pro Plan Veterinary Diets</t>
  </si>
  <si>
    <t>arroz cervecero, harina de maíz, grasa animal, harina de subproductos de ave, harina de soya, digest animal, aceite de pescado, pulpa de remolacha seca, vitaminas, minerales.</t>
  </si>
  <si>
    <t>Harina de subproductos de ave; Harina de soya</t>
  </si>
  <si>
    <t>Arroz cervecero; Harina de maíz; Pulpa de remolacha seca</t>
  </si>
  <si>
    <t>Digesto animal; Vitaminas; Minerales</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</si>
  <si>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</si>
  <si>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</si>
  <si>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</si>
  <si>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</si>
  <si>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</si>
  <si>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</si>
  <si>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</si>
  <si>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</si>
  <si>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</si>
  <si>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</si>
  <si>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</si>
  <si>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Pro Pac Ultimate Puppy Chicken Meal</t>
  </si>
  <si>
    <t>Cachorro</t>
  </si>
  <si>
    <t>Harina de pollo, arroz cervecero, cebada, grasa de pollo, pulpa de remolacha seca, harina de pescado oceánico, linaza, avena, levadura seca de cerveza, sabor natural.</t>
  </si>
  <si>
    <t>Harina de pollo; Harina de pescado oceánico</t>
  </si>
  <si>
    <t>Carne de pollo congelada, maíz, harina de subproductos de pollo, trigo, arroz, gluten de maiz, aceite de pollo hidrolizado a base de subproductos de pollo, sal, carbonato o fosfato calcico</t>
  </si>
  <si>
    <t>Carne de pollo congelada; Harina de subproductos de pollo; Gluten de maíz; Hidrolizado a base de subproductos de pollo</t>
  </si>
  <si>
    <t>Sal; Carbonato o fosfato cálcico</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</si>
  <si>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</si>
  <si>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</si>
  <si>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</si>
  <si>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Pro Plan Kitten</t>
  </si>
  <si>
    <t>Carne de pollo, harina de subproductos de pollo, gluten de maíz, arroz, maíz, aceite de pollo y/o grasa vacuna preservados con tocoferoles (fuente de vitamina E), gluten de trigo, hidrolizado a base de subproductos de pollo y/o cerdo,  harina de pescado y/o harina de alga (Schizochytrium sp.)</t>
  </si>
  <si>
    <t>Carne de pollo; Harina de subproductos de pollo; Gluten de trigo; Harina de pescado y/o harina de alga (Schizochytrium sp.); Hidrolizado a base de subproductos de pollo y/o cerdo</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</si>
  <si>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</si>
  <si>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</si>
  <si>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</si>
  <si>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</si>
  <si>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</si>
  <si>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</si>
  <si>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</si>
  <si>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</si>
  <si>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</si>
  <si>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</si>
  <si>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</si>
  <si>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</si>
  <si>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</si>
  <si>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</si>
  <si>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</si>
  <si>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</si>
  <si>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</si>
  <si>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</si>
  <si>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</si>
  <si>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</si>
  <si>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</si>
  <si>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</si>
  <si>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</si>
  <si>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</si>
  <si>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</si>
  <si>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</si>
  <si>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 Razas Medianas</t>
  </si>
  <si>
    <t>Adultos Urinary</t>
  </si>
  <si>
    <t>Chucho Adulto Todas las Razas</t>
  </si>
  <si>
    <t>maiz, harina de carne, subproducto de pollo o visceras, harina de soya, harina de gluten de maiz, grasa animal, digesto animal, afrechillo de maiz, carbonato de calcio, sal y premezcla de vitaminas y minerales</t>
  </si>
  <si>
    <t>Harina de carne; Subproducto de pollo o vísceras; Harina de soya; Harina de gluten de maíz</t>
  </si>
  <si>
    <t>Maíz; Afrechillo de maíz</t>
  </si>
  <si>
    <t>Digesto animal; Carbonato de calcio; Sal; Premezcla de vitaminas y minerales</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</si>
  <si>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</si>
  <si>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</si>
  <si>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</si>
  <si>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</si>
  <si>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</si>
  <si>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</si>
  <si>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Chunky Puppies</t>
  </si>
  <si>
    <t>Harina de pollo, maíz amarillo molido, arroz quebrado, grasa de pollo estabilizada, harina de soya, harina de pescado, pulpa de remolacha, fosfato dicálcico, vitaminas A-D-E, minerales quelados</t>
  </si>
  <si>
    <t>Harina de pollo; Harina de soya; Harina de pescado</t>
  </si>
  <si>
    <t>Grasa de pollo estabilizada</t>
  </si>
  <si>
    <t>Maíz amarillo molido; Arroz quebrado; Pulpa de remolacha</t>
  </si>
  <si>
    <t>Fosfato dicálcico; Vitaminas A-D-E; Minerales quelados</t>
  </si>
  <si>
    <t>Chucho Adultos</t>
  </si>
  <si>
    <t>Maíz,harina de pollo, coproductos de trigo, trigo, pasta de soya, coproductos de arroz, afrecho de malta, grasa de pollo (ácido linoleico - omega 3 y ácido linoleico - omega 6) y/o vegetal, harina de carne y hueso, levadura</t>
  </si>
  <si>
    <t>Harina de pollo; Pasta de soya; Harina de carne y hueso</t>
  </si>
  <si>
    <t>Grasa de pollo; Grasa vegetal</t>
  </si>
  <si>
    <t>Maíz; Trigo; Coproductos de trigo; Coproductos de arroz; Afrecho de malta</t>
  </si>
  <si>
    <t>Levadura</t>
  </si>
  <si>
    <t>Compa</t>
  </si>
  <si>
    <t>Maíz y derivados, trigo y derivados, harina de pollo, harina de visceras, soya y derivados, arroz y derivados, grasa animal y/o vegetal, fosfato de calcio, saborizante, carbonato de calcio</t>
  </si>
  <si>
    <t>Harina de pollo; Harina de vísceras; Soya y derivados</t>
  </si>
  <si>
    <t>Maíz y derivados; Trigo y derivados; Arroz y derivados</t>
  </si>
  <si>
    <t>Fosfato de calcio; Saborizante; Carbonato de calcio</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</si>
  <si>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</si>
  <si>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</si>
  <si>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</si>
  <si>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</si>
  <si>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</si>
  <si>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Exibal</t>
  </si>
  <si>
    <t>Italcol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</si>
</sst>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2" fontId="0" fillId="0" borderId="0" xfId="0" applyNumberFormat="1"/>
    <xf numFmtId="0" fontId="0" fillId="0" borderId="0" xfId="0" applyAlignment="1">
      <alignment horizontal="center"/>
    </xf>
    <xf numFmtId="0" fontId="0" fillId="0" borderId="0" xfId="0" applyAlignment="1">
      <alignment wrapText="1"/>
    </xf>
    <xf numFmtId="1" fontId="0" fillId="0" borderId="0" xfId="0" applyNumberFormat="1"/>
    <xf numFmtId="0" fontId="0" fillId="0" borderId="0" xfId="0" applyAlignment="1">
      <alignment vertical="center" wrapText="1"/>
    </xf>
    <xf numFmtId="164"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A604B-470B-423A-8831-67E616DB60F6}">
  <dimension ref="A1:U117"/>
  <sheetViews>
    <sheetView tabSelected="1" workbookViewId="0">
      <selection activeCell="E4" sqref="E4"/>
    </sheetView>
  </sheetViews>
  <sheetFormatPr baseColWidth="10" defaultRowHeight="15.05" x14ac:dyDescent="0.3"/>
  <cols>
    <col min="2" max="2" width="31.88671875" customWidth="1"/>
    <col min="3" max="3" width="13.6640625" customWidth="1"/>
    <col min="5" max="5" width="21.88671875" customWidth="1"/>
    <col min="6" max="16" width="11.5546875" style="1"/>
    <col min="17" max="21" width="58.77734375" customWidth="1"/>
  </cols>
  <sheetData>
    <row r="1" spans="1:21"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s="1" t="s">
        <v>15</v>
      </c>
      <c r="Q1" s="2" t="s">
        <v>46</v>
      </c>
      <c r="R1" t="s">
        <v>16</v>
      </c>
      <c r="S1" t="s">
        <v>17</v>
      </c>
      <c r="T1" t="s">
        <v>18</v>
      </c>
      <c r="U1" t="s">
        <v>19</v>
      </c>
    </row>
    <row r="2" spans="1:21" ht="45.2" x14ac:dyDescent="0.3">
      <c r="A2">
        <v>1</v>
      </c>
      <c r="B2" t="s">
        <v>28</v>
      </c>
      <c r="C2" t="s">
        <v>29</v>
      </c>
      <c r="D2" t="s">
        <v>80</v>
      </c>
      <c r="E2" s="3" t="s">
        <v>81</v>
      </c>
      <c r="F2" s="6">
        <v>26</v>
      </c>
      <c r="G2" s="6">
        <v>10</v>
      </c>
      <c r="H2" s="6">
        <v>8</v>
      </c>
      <c r="I2" s="6">
        <v>10</v>
      </c>
      <c r="J2" s="6">
        <v>4</v>
      </c>
      <c r="K2" s="4">
        <f>100-(F2+G2+H2+I2+J2)</f>
        <v>42</v>
      </c>
      <c r="L2" s="4">
        <f>(100*J2)/(100-I2)</f>
        <v>4.4444444444444446</v>
      </c>
      <c r="M2" s="4">
        <f>(5.7*F2)+(9.4*G2)+(4.1*(K2+J2))</f>
        <v>430.8</v>
      </c>
      <c r="N2" s="4">
        <f>((91.2-(1.43*L2))*M2)/100</f>
        <v>365.50986666666671</v>
      </c>
      <c r="O2" s="4">
        <f>N2-(1.04*F2)</f>
        <v>338.46986666666669</v>
      </c>
      <c r="P2" s="4">
        <v>0</v>
      </c>
      <c r="Q2" s="5" t="s">
        <v>82</v>
      </c>
      <c r="R2" s="5" t="s">
        <v>83</v>
      </c>
      <c r="S2" s="5" t="s">
        <v>54</v>
      </c>
      <c r="T2" s="5" t="s">
        <v>84</v>
      </c>
      <c r="U2" s="5" t="s">
        <v>51</v>
      </c>
    </row>
    <row r="3" spans="1:21" ht="45.2" x14ac:dyDescent="0.3">
      <c r="A3">
        <v>2</v>
      </c>
      <c r="B3" t="s">
        <v>28</v>
      </c>
      <c r="C3" t="s">
        <v>29</v>
      </c>
      <c r="D3" t="s">
        <v>80</v>
      </c>
      <c r="E3" s="3" t="s">
        <v>85</v>
      </c>
      <c r="F3" s="6">
        <v>25</v>
      </c>
      <c r="G3" s="6">
        <v>10</v>
      </c>
      <c r="H3" s="6">
        <v>8</v>
      </c>
      <c r="I3" s="6">
        <v>10</v>
      </c>
      <c r="J3" s="6">
        <v>4</v>
      </c>
      <c r="K3" s="4">
        <f t="shared" ref="K3:K58" si="0">100-(F3+G3+H3+I3+J3)</f>
        <v>43</v>
      </c>
      <c r="L3" s="4">
        <f t="shared" ref="L3:L58" si="1">(100*J3)/(100-I3)</f>
        <v>4.4444444444444446</v>
      </c>
      <c r="M3" s="4">
        <f t="shared" ref="M3:M58" si="2">(5.7*F3)+(9.4*G3)+(4.1*(K3+J3))</f>
        <v>429.2</v>
      </c>
      <c r="N3" s="4">
        <f t="shared" ref="N3:N58" si="3">((91.2-(1.43*L3))*M3)/100</f>
        <v>364.15235555555557</v>
      </c>
      <c r="O3" s="4">
        <f t="shared" ref="O3:O96" si="4">N3-(1.04*F3)</f>
        <v>338.15235555555557</v>
      </c>
      <c r="P3" s="4">
        <v>0</v>
      </c>
      <c r="Q3" s="5" t="s">
        <v>82</v>
      </c>
      <c r="R3" s="5" t="s">
        <v>83</v>
      </c>
      <c r="S3" s="5" t="s">
        <v>54</v>
      </c>
      <c r="T3" s="5" t="s">
        <v>84</v>
      </c>
      <c r="U3" s="5" t="s">
        <v>51</v>
      </c>
    </row>
    <row r="4" spans="1:21" ht="45.2" x14ac:dyDescent="0.3">
      <c r="A4">
        <v>3</v>
      </c>
      <c r="B4" t="s">
        <v>28</v>
      </c>
      <c r="C4" t="s">
        <v>29</v>
      </c>
      <c r="D4" t="s">
        <v>80</v>
      </c>
      <c r="E4" s="3" t="s">
        <v>86</v>
      </c>
      <c r="F4" s="6">
        <v>22</v>
      </c>
      <c r="G4" s="6">
        <v>7</v>
      </c>
      <c r="H4" s="6">
        <v>7</v>
      </c>
      <c r="I4" s="6">
        <v>12</v>
      </c>
      <c r="J4" s="6">
        <v>5</v>
      </c>
      <c r="K4" s="4">
        <f t="shared" si="0"/>
        <v>47</v>
      </c>
      <c r="L4" s="4">
        <f t="shared" si="1"/>
        <v>5.6818181818181817</v>
      </c>
      <c r="M4" s="4">
        <f t="shared" si="2"/>
        <v>404.4</v>
      </c>
      <c r="N4" s="4">
        <f t="shared" si="3"/>
        <v>335.95529999999997</v>
      </c>
      <c r="O4" s="4">
        <f t="shared" si="4"/>
        <v>313.07529999999997</v>
      </c>
      <c r="P4" s="4">
        <v>0</v>
      </c>
      <c r="Q4" s="5" t="s">
        <v>87</v>
      </c>
      <c r="R4" s="5" t="s">
        <v>88</v>
      </c>
      <c r="S4" s="5" t="s">
        <v>54</v>
      </c>
      <c r="T4" s="5" t="s">
        <v>69</v>
      </c>
      <c r="U4" s="5" t="s">
        <v>70</v>
      </c>
    </row>
    <row r="5" spans="1:21" ht="45.2" x14ac:dyDescent="0.3">
      <c r="A5">
        <v>4</v>
      </c>
      <c r="B5" t="s">
        <v>89</v>
      </c>
      <c r="C5" t="s">
        <v>90</v>
      </c>
      <c r="D5" t="s">
        <v>80</v>
      </c>
      <c r="E5" s="3" t="s">
        <v>91</v>
      </c>
      <c r="F5" s="6">
        <v>26</v>
      </c>
      <c r="G5" s="6">
        <v>11</v>
      </c>
      <c r="H5" s="6">
        <v>5</v>
      </c>
      <c r="I5" s="6">
        <v>12</v>
      </c>
      <c r="J5" s="6">
        <v>3.5</v>
      </c>
      <c r="K5" s="4">
        <f t="shared" si="0"/>
        <v>42.5</v>
      </c>
      <c r="L5" s="4">
        <f t="shared" si="1"/>
        <v>3.9772727272727271</v>
      </c>
      <c r="M5" s="4">
        <f t="shared" si="2"/>
        <v>440.20000000000005</v>
      </c>
      <c r="N5" s="4">
        <f t="shared" si="3"/>
        <v>376.4260250000001</v>
      </c>
      <c r="O5" s="4">
        <f t="shared" si="4"/>
        <v>349.38602500000007</v>
      </c>
      <c r="P5" s="4">
        <v>0</v>
      </c>
      <c r="Q5" s="5" t="s">
        <v>92</v>
      </c>
      <c r="R5" s="5" t="s">
        <v>93</v>
      </c>
      <c r="S5" s="5" t="s">
        <v>94</v>
      </c>
      <c r="T5" s="5" t="s">
        <v>95</v>
      </c>
      <c r="U5" s="5" t="s">
        <v>51</v>
      </c>
    </row>
    <row r="6" spans="1:21" ht="45.2" x14ac:dyDescent="0.3">
      <c r="A6">
        <v>5</v>
      </c>
      <c r="B6" t="s">
        <v>96</v>
      </c>
      <c r="C6" t="s">
        <v>97</v>
      </c>
      <c r="D6" t="s">
        <v>80</v>
      </c>
      <c r="E6" s="3" t="s">
        <v>98</v>
      </c>
      <c r="F6" s="6">
        <v>26</v>
      </c>
      <c r="G6" s="6">
        <v>8</v>
      </c>
      <c r="H6" s="6">
        <v>8.5</v>
      </c>
      <c r="I6" s="6">
        <v>12</v>
      </c>
      <c r="J6" s="6">
        <v>16</v>
      </c>
      <c r="K6" s="4">
        <f t="shared" si="0"/>
        <v>29.5</v>
      </c>
      <c r="L6" s="4">
        <f t="shared" si="1"/>
        <v>18.181818181818183</v>
      </c>
      <c r="M6" s="4">
        <f t="shared" si="2"/>
        <v>409.95000000000005</v>
      </c>
      <c r="N6" s="4">
        <f t="shared" si="3"/>
        <v>267.28740000000005</v>
      </c>
      <c r="O6" s="4">
        <f t="shared" si="4"/>
        <v>240.24740000000006</v>
      </c>
      <c r="P6" s="4">
        <v>0</v>
      </c>
      <c r="Q6" s="5" t="s">
        <v>99</v>
      </c>
      <c r="R6" s="5" t="s">
        <v>100</v>
      </c>
      <c r="S6" s="5" t="s">
        <v>21</v>
      </c>
      <c r="T6" s="5" t="s">
        <v>101</v>
      </c>
      <c r="U6" s="5" t="s">
        <v>102</v>
      </c>
    </row>
    <row r="7" spans="1:21" ht="60.25" x14ac:dyDescent="0.3">
      <c r="A7">
        <v>6</v>
      </c>
      <c r="B7" t="s">
        <v>42</v>
      </c>
      <c r="C7" t="s">
        <v>43</v>
      </c>
      <c r="D7" t="s">
        <v>80</v>
      </c>
      <c r="E7" s="3" t="s">
        <v>103</v>
      </c>
      <c r="F7" s="6">
        <v>20</v>
      </c>
      <c r="G7" s="6">
        <v>9</v>
      </c>
      <c r="H7" s="6">
        <v>8</v>
      </c>
      <c r="I7" s="6">
        <v>12</v>
      </c>
      <c r="J7" s="6">
        <v>3.5</v>
      </c>
      <c r="K7" s="4">
        <f t="shared" si="0"/>
        <v>47.5</v>
      </c>
      <c r="L7" s="4">
        <f t="shared" si="1"/>
        <v>3.9772727272727271</v>
      </c>
      <c r="M7" s="4">
        <f t="shared" si="2"/>
        <v>407.70000000000005</v>
      </c>
      <c r="N7" s="4">
        <f t="shared" si="3"/>
        <v>348.6344625000001</v>
      </c>
      <c r="O7" s="4">
        <f t="shared" si="4"/>
        <v>327.83446250000009</v>
      </c>
      <c r="P7" s="4">
        <v>0</v>
      </c>
      <c r="Q7" s="5" t="s">
        <v>104</v>
      </c>
      <c r="R7" s="5" t="s">
        <v>105</v>
      </c>
      <c r="S7" s="5" t="s">
        <v>106</v>
      </c>
      <c r="T7" s="5" t="s">
        <v>107</v>
      </c>
      <c r="U7" s="5" t="s">
        <v>108</v>
      </c>
    </row>
    <row r="8" spans="1:21" ht="60.25" x14ac:dyDescent="0.3">
      <c r="A8">
        <v>7</v>
      </c>
      <c r="B8" t="s">
        <v>42</v>
      </c>
      <c r="C8" t="s">
        <v>43</v>
      </c>
      <c r="D8" t="s">
        <v>80</v>
      </c>
      <c r="E8" s="3" t="s">
        <v>109</v>
      </c>
      <c r="F8" s="6">
        <v>20</v>
      </c>
      <c r="G8" s="6">
        <v>9</v>
      </c>
      <c r="H8" s="6">
        <v>8</v>
      </c>
      <c r="I8" s="6">
        <v>12</v>
      </c>
      <c r="J8" s="6">
        <v>3.5</v>
      </c>
      <c r="K8" s="4">
        <f t="shared" si="0"/>
        <v>47.5</v>
      </c>
      <c r="L8" s="4">
        <f t="shared" si="1"/>
        <v>3.9772727272727271</v>
      </c>
      <c r="M8" s="4">
        <f t="shared" si="2"/>
        <v>407.70000000000005</v>
      </c>
      <c r="N8" s="4">
        <f t="shared" si="3"/>
        <v>348.6344625000001</v>
      </c>
      <c r="O8" s="4">
        <f t="shared" si="4"/>
        <v>327.83446250000009</v>
      </c>
      <c r="P8" s="4">
        <v>0</v>
      </c>
      <c r="Q8" s="5" t="s">
        <v>110</v>
      </c>
      <c r="R8" s="5" t="s">
        <v>111</v>
      </c>
      <c r="S8" s="5" t="s">
        <v>106</v>
      </c>
      <c r="T8" s="5" t="s">
        <v>107</v>
      </c>
      <c r="U8" s="5" t="s">
        <v>108</v>
      </c>
    </row>
    <row r="9" spans="1:21" ht="30.15" x14ac:dyDescent="0.3">
      <c r="A9">
        <v>8</v>
      </c>
      <c r="B9" t="s">
        <v>112</v>
      </c>
      <c r="C9" t="s">
        <v>369</v>
      </c>
      <c r="D9" t="s">
        <v>80</v>
      </c>
      <c r="E9" s="3" t="s">
        <v>109</v>
      </c>
      <c r="F9" s="6">
        <v>21</v>
      </c>
      <c r="G9" s="6">
        <v>7</v>
      </c>
      <c r="H9" s="6">
        <v>10</v>
      </c>
      <c r="I9" s="6">
        <v>12</v>
      </c>
      <c r="J9" s="6">
        <v>5</v>
      </c>
      <c r="K9" s="4">
        <f t="shared" si="0"/>
        <v>45</v>
      </c>
      <c r="L9" s="4">
        <f t="shared" si="1"/>
        <v>5.6818181818181817</v>
      </c>
      <c r="M9" s="4">
        <f t="shared" si="2"/>
        <v>390.5</v>
      </c>
      <c r="N9" s="4">
        <f t="shared" si="3"/>
        <v>324.40787500000005</v>
      </c>
      <c r="O9" s="4">
        <f t="shared" si="4"/>
        <v>302.56787500000007</v>
      </c>
      <c r="P9" s="4">
        <v>0</v>
      </c>
      <c r="Q9" s="5" t="s">
        <v>113</v>
      </c>
      <c r="R9" s="5" t="s">
        <v>114</v>
      </c>
      <c r="S9" s="5" t="s">
        <v>115</v>
      </c>
      <c r="T9" s="5" t="s">
        <v>116</v>
      </c>
      <c r="U9" s="5" t="s">
        <v>21</v>
      </c>
    </row>
    <row r="10" spans="1:21" ht="75.3" x14ac:dyDescent="0.3">
      <c r="A10">
        <v>9</v>
      </c>
      <c r="B10" t="s">
        <v>117</v>
      </c>
      <c r="C10" t="s">
        <v>37</v>
      </c>
      <c r="D10" t="s">
        <v>80</v>
      </c>
      <c r="E10" s="3" t="s">
        <v>118</v>
      </c>
      <c r="F10" s="6">
        <v>24</v>
      </c>
      <c r="G10" s="6">
        <v>8</v>
      </c>
      <c r="H10" s="6">
        <v>9</v>
      </c>
      <c r="I10" s="6">
        <v>12</v>
      </c>
      <c r="J10" s="6">
        <v>9</v>
      </c>
      <c r="K10" s="4">
        <f t="shared" si="0"/>
        <v>38</v>
      </c>
      <c r="L10" s="4">
        <f t="shared" si="1"/>
        <v>10.227272727272727</v>
      </c>
      <c r="M10" s="4">
        <f t="shared" si="2"/>
        <v>404.7</v>
      </c>
      <c r="N10" s="4">
        <f t="shared" si="3"/>
        <v>309.89902499999999</v>
      </c>
      <c r="O10" s="4">
        <f t="shared" si="4"/>
        <v>284.93902500000002</v>
      </c>
      <c r="P10" s="4">
        <v>0</v>
      </c>
      <c r="Q10" s="5" t="s">
        <v>119</v>
      </c>
      <c r="R10" s="5" t="s">
        <v>120</v>
      </c>
      <c r="S10" s="5" t="s">
        <v>121</v>
      </c>
      <c r="T10" s="5" t="s">
        <v>122</v>
      </c>
      <c r="U10" s="5" t="s">
        <v>61</v>
      </c>
    </row>
    <row r="11" spans="1:21" ht="90.35" x14ac:dyDescent="0.3">
      <c r="A11">
        <v>10</v>
      </c>
      <c r="B11" t="s">
        <v>117</v>
      </c>
      <c r="C11" t="s">
        <v>37</v>
      </c>
      <c r="D11" t="s">
        <v>80</v>
      </c>
      <c r="E11" s="3" t="s">
        <v>123</v>
      </c>
      <c r="F11" s="6">
        <v>21</v>
      </c>
      <c r="G11" s="6">
        <v>10</v>
      </c>
      <c r="H11" s="6">
        <v>9</v>
      </c>
      <c r="I11" s="6">
        <v>12</v>
      </c>
      <c r="J11" s="6">
        <v>4</v>
      </c>
      <c r="K11" s="4">
        <f t="shared" si="0"/>
        <v>44</v>
      </c>
      <c r="L11" s="4">
        <f t="shared" si="1"/>
        <v>4.5454545454545459</v>
      </c>
      <c r="M11" s="4">
        <f t="shared" si="2"/>
        <v>410.5</v>
      </c>
      <c r="N11" s="4">
        <f t="shared" si="3"/>
        <v>347.69349999999997</v>
      </c>
      <c r="O11" s="4">
        <f t="shared" si="4"/>
        <v>325.8535</v>
      </c>
      <c r="P11" s="4">
        <v>0</v>
      </c>
      <c r="Q11" s="5" t="s">
        <v>124</v>
      </c>
      <c r="R11" s="5" t="s">
        <v>125</v>
      </c>
      <c r="S11" s="5" t="s">
        <v>121</v>
      </c>
      <c r="T11" s="5" t="s">
        <v>126</v>
      </c>
      <c r="U11" s="5" t="s">
        <v>127</v>
      </c>
    </row>
    <row r="12" spans="1:21" ht="60.25" x14ac:dyDescent="0.3">
      <c r="A12">
        <v>11</v>
      </c>
      <c r="B12" t="s">
        <v>44</v>
      </c>
      <c r="C12" t="s">
        <v>369</v>
      </c>
      <c r="D12" t="s">
        <v>80</v>
      </c>
      <c r="E12" s="3" t="s">
        <v>109</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v>0</v>
      </c>
      <c r="Q12" s="5" t="s">
        <v>128</v>
      </c>
      <c r="R12" s="5" t="s">
        <v>129</v>
      </c>
      <c r="S12" s="5" t="s">
        <v>21</v>
      </c>
      <c r="T12" s="5" t="s">
        <v>130</v>
      </c>
      <c r="U12" s="5" t="s">
        <v>21</v>
      </c>
    </row>
    <row r="13" spans="1:21" ht="45.2" x14ac:dyDescent="0.3">
      <c r="A13">
        <v>12</v>
      </c>
      <c r="B13" t="s">
        <v>131</v>
      </c>
      <c r="C13" t="s">
        <v>26</v>
      </c>
      <c r="D13" t="s">
        <v>80</v>
      </c>
      <c r="E13" s="3" t="s">
        <v>132</v>
      </c>
      <c r="F13" s="6">
        <v>28</v>
      </c>
      <c r="G13" s="6">
        <v>17</v>
      </c>
      <c r="H13" s="6">
        <v>6.9</v>
      </c>
      <c r="I13" s="6">
        <v>8</v>
      </c>
      <c r="J13" s="6">
        <v>2.1</v>
      </c>
      <c r="K13" s="4">
        <f t="shared" si="0"/>
        <v>38</v>
      </c>
      <c r="L13" s="4">
        <f t="shared" si="1"/>
        <v>2.2826086956521738</v>
      </c>
      <c r="M13" s="4">
        <f t="shared" si="2"/>
        <v>483.80999999999995</v>
      </c>
      <c r="N13" s="4">
        <f t="shared" si="3"/>
        <v>425.4425305434782</v>
      </c>
      <c r="O13" s="4">
        <f t="shared" si="4"/>
        <v>396.32253054347819</v>
      </c>
      <c r="P13" s="4">
        <v>0</v>
      </c>
      <c r="Q13" s="5" t="s">
        <v>133</v>
      </c>
      <c r="R13" s="5" t="s">
        <v>134</v>
      </c>
      <c r="S13" s="5" t="s">
        <v>52</v>
      </c>
      <c r="T13" s="5" t="s">
        <v>135</v>
      </c>
      <c r="U13" s="5" t="s">
        <v>21</v>
      </c>
    </row>
    <row r="14" spans="1:21" ht="45.2" x14ac:dyDescent="0.3">
      <c r="A14">
        <v>13</v>
      </c>
      <c r="B14" t="s">
        <v>136</v>
      </c>
      <c r="C14" t="s">
        <v>137</v>
      </c>
      <c r="D14" t="s">
        <v>80</v>
      </c>
      <c r="E14" s="3" t="s">
        <v>138</v>
      </c>
      <c r="F14" s="6">
        <v>21</v>
      </c>
      <c r="G14" s="6">
        <v>7</v>
      </c>
      <c r="H14" s="6">
        <v>10</v>
      </c>
      <c r="I14" s="6">
        <v>10</v>
      </c>
      <c r="J14" s="6">
        <v>4</v>
      </c>
      <c r="K14" s="4">
        <f t="shared" si="0"/>
        <v>48</v>
      </c>
      <c r="L14" s="4">
        <f t="shared" si="1"/>
        <v>4.4444444444444446</v>
      </c>
      <c r="M14" s="4">
        <f t="shared" si="2"/>
        <v>398.7</v>
      </c>
      <c r="N14" s="4">
        <f t="shared" si="3"/>
        <v>338.27480000000003</v>
      </c>
      <c r="O14" s="4">
        <f t="shared" si="4"/>
        <v>316.43480000000005</v>
      </c>
      <c r="P14" s="4">
        <v>0</v>
      </c>
      <c r="Q14" s="5" t="s">
        <v>139</v>
      </c>
      <c r="R14" s="5" t="s">
        <v>140</v>
      </c>
      <c r="S14" s="5" t="s">
        <v>47</v>
      </c>
      <c r="T14" s="5" t="s">
        <v>141</v>
      </c>
      <c r="U14" s="5" t="s">
        <v>21</v>
      </c>
    </row>
    <row r="15" spans="1:21" ht="45.2" x14ac:dyDescent="0.3">
      <c r="A15">
        <v>14</v>
      </c>
      <c r="B15" t="s">
        <v>136</v>
      </c>
      <c r="C15" t="s">
        <v>137</v>
      </c>
      <c r="D15" t="s">
        <v>80</v>
      </c>
      <c r="E15" s="3" t="s">
        <v>142</v>
      </c>
      <c r="F15" s="6">
        <v>25</v>
      </c>
      <c r="G15" s="6">
        <v>7</v>
      </c>
      <c r="H15" s="6">
        <v>10</v>
      </c>
      <c r="I15" s="6">
        <v>10</v>
      </c>
      <c r="J15" s="6">
        <v>4</v>
      </c>
      <c r="K15" s="4">
        <f t="shared" si="0"/>
        <v>44</v>
      </c>
      <c r="L15" s="4">
        <f t="shared" si="1"/>
        <v>4.4444444444444446</v>
      </c>
      <c r="M15" s="4">
        <f t="shared" si="2"/>
        <v>405.1</v>
      </c>
      <c r="N15" s="4">
        <f t="shared" si="3"/>
        <v>343.70484444444446</v>
      </c>
      <c r="O15" s="4">
        <f t="shared" si="4"/>
        <v>317.70484444444446</v>
      </c>
      <c r="P15" s="4">
        <v>0</v>
      </c>
      <c r="Q15" s="5" t="s">
        <v>143</v>
      </c>
      <c r="R15" s="5" t="s">
        <v>144</v>
      </c>
      <c r="S15" s="5" t="s">
        <v>33</v>
      </c>
      <c r="T15" s="5" t="s">
        <v>145</v>
      </c>
      <c r="U15" s="5" t="s">
        <v>21</v>
      </c>
    </row>
    <row r="16" spans="1:21" ht="45.2" x14ac:dyDescent="0.3">
      <c r="A16">
        <v>15</v>
      </c>
      <c r="B16" t="s">
        <v>178</v>
      </c>
      <c r="C16" t="s">
        <v>29</v>
      </c>
      <c r="D16" t="s">
        <v>80</v>
      </c>
      <c r="E16" s="3" t="s">
        <v>179</v>
      </c>
      <c r="F16" s="6">
        <v>30</v>
      </c>
      <c r="G16" s="6">
        <v>15</v>
      </c>
      <c r="H16" s="6">
        <v>8</v>
      </c>
      <c r="I16" s="6">
        <v>12</v>
      </c>
      <c r="J16" s="6">
        <v>16</v>
      </c>
      <c r="K16" s="4">
        <f t="shared" si="0"/>
        <v>19</v>
      </c>
      <c r="L16" s="4">
        <f t="shared" si="1"/>
        <v>18.181818181818183</v>
      </c>
      <c r="M16" s="4">
        <f t="shared" si="2"/>
        <v>455.5</v>
      </c>
      <c r="N16" s="4">
        <f t="shared" si="3"/>
        <v>296.98600000000005</v>
      </c>
      <c r="O16" s="4">
        <f t="shared" si="4"/>
        <v>265.78600000000006</v>
      </c>
      <c r="P16" s="4">
        <v>0</v>
      </c>
      <c r="Q16" s="5" t="s">
        <v>180</v>
      </c>
      <c r="R16" s="5" t="s">
        <v>181</v>
      </c>
      <c r="S16" s="5" t="s">
        <v>182</v>
      </c>
      <c r="T16" s="5" t="s">
        <v>183</v>
      </c>
      <c r="U16" s="5" t="s">
        <v>184</v>
      </c>
    </row>
    <row r="17" spans="1:21" ht="45.2" x14ac:dyDescent="0.3">
      <c r="A17">
        <v>16</v>
      </c>
      <c r="B17" t="s">
        <v>178</v>
      </c>
      <c r="C17" t="s">
        <v>29</v>
      </c>
      <c r="D17" t="s">
        <v>80</v>
      </c>
      <c r="E17" s="3" t="s">
        <v>185</v>
      </c>
      <c r="F17" s="6">
        <v>30</v>
      </c>
      <c r="G17" s="6">
        <v>15</v>
      </c>
      <c r="H17" s="6">
        <v>8</v>
      </c>
      <c r="I17" s="6">
        <v>12</v>
      </c>
      <c r="J17" s="6">
        <v>16</v>
      </c>
      <c r="K17" s="4">
        <f t="shared" si="0"/>
        <v>19</v>
      </c>
      <c r="L17" s="4">
        <f t="shared" si="1"/>
        <v>18.181818181818183</v>
      </c>
      <c r="M17" s="4">
        <f t="shared" si="2"/>
        <v>455.5</v>
      </c>
      <c r="N17" s="4">
        <f t="shared" si="3"/>
        <v>296.98600000000005</v>
      </c>
      <c r="O17" s="4">
        <f t="shared" si="4"/>
        <v>265.78600000000006</v>
      </c>
      <c r="P17" s="4">
        <v>0</v>
      </c>
      <c r="Q17" s="5" t="s">
        <v>180</v>
      </c>
      <c r="R17" s="5" t="s">
        <v>181</v>
      </c>
      <c r="S17" s="5" t="s">
        <v>182</v>
      </c>
      <c r="T17" s="5" t="s">
        <v>183</v>
      </c>
      <c r="U17" s="5" t="s">
        <v>184</v>
      </c>
    </row>
    <row r="18" spans="1:21" ht="45.2" x14ac:dyDescent="0.3">
      <c r="A18">
        <v>17</v>
      </c>
      <c r="B18" t="s">
        <v>186</v>
      </c>
      <c r="C18" t="s">
        <v>187</v>
      </c>
      <c r="D18" t="s">
        <v>80</v>
      </c>
      <c r="E18" s="3" t="s">
        <v>188</v>
      </c>
      <c r="F18" s="6">
        <v>25</v>
      </c>
      <c r="G18" s="6">
        <v>15</v>
      </c>
      <c r="H18" s="6">
        <v>8.9</v>
      </c>
      <c r="I18" s="6">
        <v>10</v>
      </c>
      <c r="J18" s="6">
        <v>3</v>
      </c>
      <c r="K18" s="4">
        <f t="shared" si="0"/>
        <v>38.1</v>
      </c>
      <c r="L18" s="4">
        <f t="shared" si="1"/>
        <v>3.3333333333333335</v>
      </c>
      <c r="M18" s="4">
        <f t="shared" si="2"/>
        <v>452.01</v>
      </c>
      <c r="N18" s="4">
        <f t="shared" si="3"/>
        <v>390.68731000000002</v>
      </c>
      <c r="O18" s="4">
        <f t="shared" si="4"/>
        <v>364.68731000000002</v>
      </c>
      <c r="P18" s="4">
        <v>0</v>
      </c>
      <c r="Q18" s="5" t="s">
        <v>189</v>
      </c>
      <c r="R18" s="5" t="s">
        <v>190</v>
      </c>
      <c r="S18" s="5" t="s">
        <v>79</v>
      </c>
      <c r="T18" s="5" t="s">
        <v>191</v>
      </c>
      <c r="U18" s="5" t="s">
        <v>21</v>
      </c>
    </row>
    <row r="19" spans="1:21" ht="45.2" x14ac:dyDescent="0.3">
      <c r="A19">
        <v>18</v>
      </c>
      <c r="B19" t="s">
        <v>536</v>
      </c>
      <c r="C19" t="s">
        <v>97</v>
      </c>
      <c r="D19" t="s">
        <v>80</v>
      </c>
      <c r="E19" s="3" t="s">
        <v>192</v>
      </c>
      <c r="F19" s="6">
        <v>26</v>
      </c>
      <c r="G19" s="6">
        <v>8</v>
      </c>
      <c r="H19" s="6">
        <v>8.5</v>
      </c>
      <c r="I19" s="6">
        <v>12</v>
      </c>
      <c r="J19" s="6">
        <v>16</v>
      </c>
      <c r="K19" s="4">
        <f t="shared" si="0"/>
        <v>29.5</v>
      </c>
      <c r="L19" s="4">
        <f t="shared" si="1"/>
        <v>18.181818181818183</v>
      </c>
      <c r="M19" s="4">
        <f t="shared" si="2"/>
        <v>409.95000000000005</v>
      </c>
      <c r="N19" s="4">
        <f t="shared" si="3"/>
        <v>267.28740000000005</v>
      </c>
      <c r="O19" s="4">
        <f t="shared" si="4"/>
        <v>240.24740000000006</v>
      </c>
      <c r="P19" s="4">
        <v>0</v>
      </c>
      <c r="Q19" s="5" t="s">
        <v>193</v>
      </c>
      <c r="R19" s="5" t="s">
        <v>100</v>
      </c>
      <c r="S19" s="5" t="s">
        <v>21</v>
      </c>
      <c r="T19" s="5" t="s">
        <v>194</v>
      </c>
      <c r="U19" s="5" t="s">
        <v>102</v>
      </c>
    </row>
    <row r="20" spans="1:21" ht="60.25" x14ac:dyDescent="0.3">
      <c r="A20">
        <v>19</v>
      </c>
      <c r="B20" t="s">
        <v>195</v>
      </c>
      <c r="C20" t="s">
        <v>97</v>
      </c>
      <c r="D20" t="s">
        <v>80</v>
      </c>
      <c r="E20" s="3" t="s">
        <v>196</v>
      </c>
      <c r="F20" s="6">
        <v>29</v>
      </c>
      <c r="G20" s="6">
        <v>17</v>
      </c>
      <c r="H20" s="6">
        <v>9</v>
      </c>
      <c r="I20" s="6">
        <v>12</v>
      </c>
      <c r="J20" s="6">
        <v>3.5</v>
      </c>
      <c r="K20" s="4">
        <f t="shared" si="0"/>
        <v>29.5</v>
      </c>
      <c r="L20" s="4">
        <f t="shared" si="1"/>
        <v>3.9772727272727271</v>
      </c>
      <c r="M20" s="4">
        <f t="shared" si="2"/>
        <v>460.4</v>
      </c>
      <c r="N20" s="4">
        <f t="shared" si="3"/>
        <v>393.69955000000004</v>
      </c>
      <c r="O20" s="4">
        <f t="shared" si="4"/>
        <v>363.53955000000002</v>
      </c>
      <c r="P20" s="4">
        <v>0</v>
      </c>
      <c r="Q20" s="5" t="s">
        <v>197</v>
      </c>
      <c r="R20" s="5" t="s">
        <v>198</v>
      </c>
      <c r="S20" s="5" t="s">
        <v>68</v>
      </c>
      <c r="T20" s="5" t="s">
        <v>64</v>
      </c>
      <c r="U20" s="5" t="s">
        <v>199</v>
      </c>
    </row>
    <row r="21" spans="1:21" ht="45.2" x14ac:dyDescent="0.3">
      <c r="A21">
        <v>20</v>
      </c>
      <c r="B21" t="s">
        <v>200</v>
      </c>
      <c r="C21" t="s">
        <v>201</v>
      </c>
      <c r="D21" t="s">
        <v>80</v>
      </c>
      <c r="E21" s="3" t="s">
        <v>202</v>
      </c>
      <c r="F21" s="6">
        <v>22</v>
      </c>
      <c r="G21" s="6">
        <v>11.5</v>
      </c>
      <c r="H21" s="6">
        <v>7</v>
      </c>
      <c r="I21" s="6">
        <v>10</v>
      </c>
      <c r="J21" s="6">
        <v>3</v>
      </c>
      <c r="K21" s="4">
        <f t="shared" si="0"/>
        <v>46.5</v>
      </c>
      <c r="L21" s="4">
        <f t="shared" si="1"/>
        <v>3.3333333333333335</v>
      </c>
      <c r="M21" s="4">
        <f t="shared" si="2"/>
        <v>436.45</v>
      </c>
      <c r="N21" s="4">
        <f t="shared" si="3"/>
        <v>377.2382833333333</v>
      </c>
      <c r="O21" s="4">
        <f t="shared" si="4"/>
        <v>354.3582833333333</v>
      </c>
      <c r="P21" s="4">
        <v>0</v>
      </c>
      <c r="Q21" s="5" t="s">
        <v>203</v>
      </c>
      <c r="R21" s="5" t="s">
        <v>204</v>
      </c>
      <c r="S21" s="5" t="s">
        <v>205</v>
      </c>
      <c r="T21" s="5" t="s">
        <v>206</v>
      </c>
      <c r="U21" s="5" t="s">
        <v>56</v>
      </c>
    </row>
    <row r="22" spans="1:21" ht="60.25" x14ac:dyDescent="0.3">
      <c r="A22">
        <v>21</v>
      </c>
      <c r="B22" t="s">
        <v>207</v>
      </c>
      <c r="C22" t="s">
        <v>27</v>
      </c>
      <c r="D22" t="s">
        <v>80</v>
      </c>
      <c r="E22" s="3" t="s">
        <v>138</v>
      </c>
      <c r="F22" s="6">
        <v>28</v>
      </c>
      <c r="G22" s="6">
        <v>18</v>
      </c>
      <c r="H22" s="6">
        <v>7</v>
      </c>
      <c r="I22" s="6">
        <v>10</v>
      </c>
      <c r="J22" s="6">
        <v>1.7</v>
      </c>
      <c r="K22" s="4">
        <f t="shared" si="0"/>
        <v>35.299999999999997</v>
      </c>
      <c r="L22" s="4">
        <f t="shared" si="1"/>
        <v>1.8888888888888888</v>
      </c>
      <c r="M22" s="4">
        <f t="shared" si="2"/>
        <v>480.5</v>
      </c>
      <c r="N22" s="4">
        <f t="shared" si="3"/>
        <v>425.23716111111111</v>
      </c>
      <c r="O22" s="4">
        <f t="shared" si="4"/>
        <v>396.1171611111111</v>
      </c>
      <c r="P22" s="4">
        <v>0</v>
      </c>
      <c r="Q22" s="5" t="s">
        <v>208</v>
      </c>
      <c r="R22" s="5" t="s">
        <v>209</v>
      </c>
      <c r="S22" s="5" t="s">
        <v>66</v>
      </c>
      <c r="T22" s="5" t="s">
        <v>67</v>
      </c>
      <c r="U22" s="5" t="s">
        <v>65</v>
      </c>
    </row>
    <row r="23" spans="1:21" ht="45.2" x14ac:dyDescent="0.3">
      <c r="A23">
        <v>22</v>
      </c>
      <c r="B23" t="s">
        <v>210</v>
      </c>
      <c r="C23" t="s">
        <v>211</v>
      </c>
      <c r="D23" t="s">
        <v>80</v>
      </c>
      <c r="E23" s="3" t="s">
        <v>212</v>
      </c>
      <c r="F23" s="6">
        <v>28</v>
      </c>
      <c r="G23" s="6">
        <v>17</v>
      </c>
      <c r="H23" s="6">
        <v>6.95</v>
      </c>
      <c r="I23" s="6">
        <v>9</v>
      </c>
      <c r="J23" s="6">
        <v>3.4</v>
      </c>
      <c r="K23" s="4">
        <f t="shared" si="0"/>
        <v>35.649999999999991</v>
      </c>
      <c r="L23" s="4">
        <f t="shared" si="1"/>
        <v>3.7362637362637363</v>
      </c>
      <c r="M23" s="4">
        <f t="shared" si="2"/>
        <v>479.50499999999988</v>
      </c>
      <c r="N23" s="4">
        <f t="shared" si="3"/>
        <v>411.68929285714279</v>
      </c>
      <c r="O23" s="4">
        <f t="shared" si="4"/>
        <v>382.56929285714278</v>
      </c>
      <c r="P23" s="4">
        <v>0</v>
      </c>
      <c r="Q23" s="5" t="s">
        <v>213</v>
      </c>
      <c r="R23" s="5" t="s">
        <v>214</v>
      </c>
      <c r="S23" s="5" t="s">
        <v>33</v>
      </c>
      <c r="T23" s="5" t="s">
        <v>215</v>
      </c>
      <c r="U23" s="5" t="s">
        <v>216</v>
      </c>
    </row>
    <row r="24" spans="1:21" ht="60.25" x14ac:dyDescent="0.3">
      <c r="A24">
        <v>23</v>
      </c>
      <c r="B24" t="s">
        <v>195</v>
      </c>
      <c r="C24" t="s">
        <v>97</v>
      </c>
      <c r="D24" t="s">
        <v>80</v>
      </c>
      <c r="E24" s="3" t="s">
        <v>217</v>
      </c>
      <c r="F24" s="6">
        <v>26</v>
      </c>
      <c r="G24" s="6">
        <v>15</v>
      </c>
      <c r="H24" s="6">
        <v>8.5</v>
      </c>
      <c r="I24" s="6">
        <v>12</v>
      </c>
      <c r="J24" s="6">
        <v>3.5</v>
      </c>
      <c r="K24" s="4">
        <f t="shared" si="0"/>
        <v>35</v>
      </c>
      <c r="L24" s="4">
        <f t="shared" si="1"/>
        <v>3.9772727272727271</v>
      </c>
      <c r="M24" s="4">
        <f t="shared" si="2"/>
        <v>447.05000000000007</v>
      </c>
      <c r="N24" s="4">
        <f t="shared" si="3"/>
        <v>382.28363125000004</v>
      </c>
      <c r="O24" s="4">
        <f t="shared" si="4"/>
        <v>355.24363125000002</v>
      </c>
      <c r="P24" s="4">
        <v>0</v>
      </c>
      <c r="Q24" s="5" t="s">
        <v>218</v>
      </c>
      <c r="R24" s="5" t="s">
        <v>198</v>
      </c>
      <c r="S24" s="5" t="s">
        <v>68</v>
      </c>
      <c r="T24" s="5" t="s">
        <v>64</v>
      </c>
      <c r="U24" s="5" t="s">
        <v>102</v>
      </c>
    </row>
    <row r="25" spans="1:21" ht="90.35" x14ac:dyDescent="0.3">
      <c r="A25">
        <v>24</v>
      </c>
      <c r="B25" t="s">
        <v>219</v>
      </c>
      <c r="C25" t="s">
        <v>220</v>
      </c>
      <c r="D25" t="s">
        <v>80</v>
      </c>
      <c r="E25" s="3" t="s">
        <v>221</v>
      </c>
      <c r="F25" s="6">
        <v>25</v>
      </c>
      <c r="G25" s="6">
        <v>13</v>
      </c>
      <c r="H25" s="6">
        <v>7</v>
      </c>
      <c r="I25" s="6">
        <v>10</v>
      </c>
      <c r="J25" s="6">
        <v>5</v>
      </c>
      <c r="K25" s="4">
        <f t="shared" si="0"/>
        <v>40</v>
      </c>
      <c r="L25" s="4">
        <f t="shared" si="1"/>
        <v>5.5555555555555554</v>
      </c>
      <c r="M25" s="4">
        <f t="shared" si="2"/>
        <v>449.19999999999993</v>
      </c>
      <c r="N25" s="4">
        <f t="shared" si="3"/>
        <v>373.9839555555555</v>
      </c>
      <c r="O25" s="4">
        <f t="shared" si="4"/>
        <v>347.9839555555555</v>
      </c>
      <c r="P25" s="4">
        <v>0</v>
      </c>
      <c r="Q25" s="5" t="s">
        <v>222</v>
      </c>
      <c r="R25" s="5" t="s">
        <v>58</v>
      </c>
      <c r="S25" s="5" t="s">
        <v>53</v>
      </c>
      <c r="T25" s="5" t="s">
        <v>59</v>
      </c>
      <c r="U25" s="5" t="s">
        <v>223</v>
      </c>
    </row>
    <row r="26" spans="1:21" ht="135.5" x14ac:dyDescent="0.3">
      <c r="A26">
        <v>25</v>
      </c>
      <c r="B26" t="s">
        <v>219</v>
      </c>
      <c r="C26" t="s">
        <v>220</v>
      </c>
      <c r="D26" t="s">
        <v>80</v>
      </c>
      <c r="E26" s="3" t="s">
        <v>224</v>
      </c>
      <c r="F26" s="6">
        <v>28</v>
      </c>
      <c r="G26" s="6">
        <v>17</v>
      </c>
      <c r="H26" s="6">
        <v>8.3000000000000007</v>
      </c>
      <c r="I26" s="6">
        <v>10</v>
      </c>
      <c r="J26" s="6">
        <v>4</v>
      </c>
      <c r="K26" s="4">
        <f t="shared" si="0"/>
        <v>32.700000000000003</v>
      </c>
      <c r="L26" s="4">
        <f t="shared" si="1"/>
        <v>4.4444444444444446</v>
      </c>
      <c r="M26" s="4">
        <f t="shared" si="2"/>
        <v>469.87</v>
      </c>
      <c r="N26" s="4">
        <f t="shared" si="3"/>
        <v>398.65859111111115</v>
      </c>
      <c r="O26" s="4">
        <f t="shared" si="4"/>
        <v>369.53859111111115</v>
      </c>
      <c r="P26" s="4">
        <v>0</v>
      </c>
      <c r="Q26" s="5" t="s">
        <v>225</v>
      </c>
      <c r="R26" s="5" t="s">
        <v>58</v>
      </c>
      <c r="S26" s="5" t="s">
        <v>53</v>
      </c>
      <c r="T26" s="5" t="s">
        <v>226</v>
      </c>
      <c r="U26" s="5" t="s">
        <v>227</v>
      </c>
    </row>
    <row r="27" spans="1:21" ht="45.2" x14ac:dyDescent="0.3">
      <c r="A27">
        <v>26</v>
      </c>
      <c r="B27" t="s">
        <v>25</v>
      </c>
      <c r="C27" t="s">
        <v>265</v>
      </c>
      <c r="D27" t="s">
        <v>80</v>
      </c>
      <c r="E27" s="3" t="s">
        <v>20</v>
      </c>
      <c r="F27" s="6">
        <v>25</v>
      </c>
      <c r="G27" s="6">
        <v>9</v>
      </c>
      <c r="H27" s="6">
        <v>7</v>
      </c>
      <c r="I27" s="6">
        <v>10</v>
      </c>
      <c r="J27" s="6">
        <v>7.5</v>
      </c>
      <c r="K27" s="4">
        <f t="shared" si="0"/>
        <v>41.5</v>
      </c>
      <c r="L27" s="4">
        <f t="shared" si="1"/>
        <v>8.3333333333333339</v>
      </c>
      <c r="M27" s="4">
        <f t="shared" si="2"/>
        <v>428</v>
      </c>
      <c r="N27" s="4">
        <f t="shared" si="3"/>
        <v>339.33266666666663</v>
      </c>
      <c r="O27" s="4">
        <f t="shared" si="4"/>
        <v>313.33266666666663</v>
      </c>
      <c r="P27" s="4">
        <v>0</v>
      </c>
      <c r="Q27" s="5" t="s">
        <v>266</v>
      </c>
      <c r="R27" s="5" t="s">
        <v>267</v>
      </c>
      <c r="S27" s="5" t="s">
        <v>268</v>
      </c>
      <c r="T27" s="5" t="s">
        <v>269</v>
      </c>
      <c r="U27" s="5" t="s">
        <v>270</v>
      </c>
    </row>
    <row r="28" spans="1:21" ht="75.3" x14ac:dyDescent="0.3">
      <c r="A28">
        <v>27</v>
      </c>
      <c r="B28" t="s">
        <v>271</v>
      </c>
      <c r="C28" t="s">
        <v>250</v>
      </c>
      <c r="D28" t="s">
        <v>80</v>
      </c>
      <c r="E28" s="3" t="s">
        <v>272</v>
      </c>
      <c r="F28" s="6">
        <v>38</v>
      </c>
      <c r="G28" s="6">
        <v>19</v>
      </c>
      <c r="H28" s="6">
        <v>8.5</v>
      </c>
      <c r="I28" s="6">
        <v>8</v>
      </c>
      <c r="J28" s="6">
        <v>2.5</v>
      </c>
      <c r="K28" s="4">
        <f t="shared" si="0"/>
        <v>24</v>
      </c>
      <c r="L28" s="4">
        <f t="shared" si="1"/>
        <v>2.7173913043478262</v>
      </c>
      <c r="M28" s="4">
        <f t="shared" si="2"/>
        <v>503.84999999999997</v>
      </c>
      <c r="N28" s="4">
        <f t="shared" si="3"/>
        <v>439.93224619565217</v>
      </c>
      <c r="O28" s="4">
        <f t="shared" si="4"/>
        <v>400.41224619565219</v>
      </c>
      <c r="P28" s="4">
        <v>0</v>
      </c>
      <c r="Q28" s="5" t="s">
        <v>273</v>
      </c>
      <c r="R28" s="5" t="s">
        <v>274</v>
      </c>
      <c r="S28" s="5" t="s">
        <v>24</v>
      </c>
      <c r="T28" s="5" t="s">
        <v>275</v>
      </c>
      <c r="U28" s="5" t="s">
        <v>51</v>
      </c>
    </row>
    <row r="29" spans="1:21" ht="45.2" x14ac:dyDescent="0.3">
      <c r="A29">
        <v>28</v>
      </c>
      <c r="B29" t="s">
        <v>276</v>
      </c>
      <c r="C29" t="s">
        <v>250</v>
      </c>
      <c r="D29" t="s">
        <v>80</v>
      </c>
      <c r="E29" s="3" t="s">
        <v>277</v>
      </c>
      <c r="F29" s="6">
        <v>38</v>
      </c>
      <c r="G29" s="6">
        <v>18</v>
      </c>
      <c r="H29" s="6">
        <v>8.5</v>
      </c>
      <c r="I29" s="6">
        <v>8</v>
      </c>
      <c r="J29" s="6">
        <v>2.5</v>
      </c>
      <c r="K29" s="4">
        <f t="shared" si="0"/>
        <v>25</v>
      </c>
      <c r="L29" s="4">
        <f t="shared" si="1"/>
        <v>2.7173913043478262</v>
      </c>
      <c r="M29" s="4">
        <f t="shared" si="2"/>
        <v>498.55</v>
      </c>
      <c r="N29" s="4">
        <f t="shared" si="3"/>
        <v>435.30459728260871</v>
      </c>
      <c r="O29" s="4">
        <f t="shared" si="4"/>
        <v>395.78459728260873</v>
      </c>
      <c r="P29" s="4">
        <v>0</v>
      </c>
      <c r="Q29" s="5" t="s">
        <v>278</v>
      </c>
      <c r="R29" s="5" t="s">
        <v>279</v>
      </c>
      <c r="S29" s="5" t="s">
        <v>280</v>
      </c>
      <c r="T29" s="5" t="s">
        <v>281</v>
      </c>
      <c r="U29" s="5" t="s">
        <v>21</v>
      </c>
    </row>
    <row r="30" spans="1:21" ht="45.2" x14ac:dyDescent="0.3">
      <c r="A30">
        <v>29</v>
      </c>
      <c r="B30" t="s">
        <v>282</v>
      </c>
      <c r="C30" t="s">
        <v>283</v>
      </c>
      <c r="D30" t="s">
        <v>80</v>
      </c>
      <c r="E30" s="3" t="s">
        <v>284</v>
      </c>
      <c r="F30" s="6">
        <v>24</v>
      </c>
      <c r="G30" s="6">
        <v>11</v>
      </c>
      <c r="H30" s="6">
        <v>6.5</v>
      </c>
      <c r="I30" s="6">
        <v>10</v>
      </c>
      <c r="J30" s="6">
        <v>4</v>
      </c>
      <c r="K30" s="4">
        <f t="shared" si="0"/>
        <v>44.5</v>
      </c>
      <c r="L30" s="4">
        <f t="shared" si="1"/>
        <v>4.4444444444444446</v>
      </c>
      <c r="M30" s="4">
        <f t="shared" si="2"/>
        <v>439.05</v>
      </c>
      <c r="N30" s="4">
        <f t="shared" si="3"/>
        <v>372.50953333333337</v>
      </c>
      <c r="O30" s="4">
        <f t="shared" si="4"/>
        <v>347.54953333333339</v>
      </c>
      <c r="P30" s="4">
        <v>0</v>
      </c>
      <c r="Q30" s="5" t="s">
        <v>285</v>
      </c>
      <c r="R30" s="5" t="s">
        <v>286</v>
      </c>
      <c r="S30" s="5" t="s">
        <v>287</v>
      </c>
      <c r="T30" s="5" t="s">
        <v>288</v>
      </c>
      <c r="U30" s="5" t="s">
        <v>21</v>
      </c>
    </row>
    <row r="31" spans="1:21" ht="45.2" x14ac:dyDescent="0.3">
      <c r="A31">
        <v>30</v>
      </c>
      <c r="B31" t="s">
        <v>289</v>
      </c>
      <c r="C31" t="s">
        <v>30</v>
      </c>
      <c r="D31" t="s">
        <v>80</v>
      </c>
      <c r="E31" s="3" t="s">
        <v>290</v>
      </c>
      <c r="F31" s="6">
        <v>28</v>
      </c>
      <c r="G31" s="6">
        <v>18</v>
      </c>
      <c r="H31" s="6">
        <v>7.6</v>
      </c>
      <c r="I31" s="6">
        <v>10</v>
      </c>
      <c r="J31" s="6">
        <v>1.5</v>
      </c>
      <c r="K31" s="4">
        <f t="shared" si="0"/>
        <v>34.900000000000006</v>
      </c>
      <c r="L31" s="4">
        <f t="shared" si="1"/>
        <v>1.6666666666666667</v>
      </c>
      <c r="M31" s="4">
        <f t="shared" si="2"/>
        <v>478.04</v>
      </c>
      <c r="N31" s="4">
        <f t="shared" si="3"/>
        <v>424.57919333333331</v>
      </c>
      <c r="O31" s="4">
        <f t="shared" si="4"/>
        <v>395.4591933333333</v>
      </c>
      <c r="P31" s="4">
        <v>0</v>
      </c>
      <c r="Q31" s="5" t="s">
        <v>291</v>
      </c>
      <c r="R31" s="5" t="s">
        <v>292</v>
      </c>
      <c r="S31" s="5" t="s">
        <v>72</v>
      </c>
      <c r="T31" s="5" t="s">
        <v>50</v>
      </c>
      <c r="U31" s="5" t="s">
        <v>60</v>
      </c>
    </row>
    <row r="32" spans="1:21" ht="45.2" x14ac:dyDescent="0.3">
      <c r="A32">
        <v>31</v>
      </c>
      <c r="B32" t="s">
        <v>293</v>
      </c>
      <c r="C32" t="s">
        <v>30</v>
      </c>
      <c r="D32" t="s">
        <v>80</v>
      </c>
      <c r="E32" s="3" t="s">
        <v>294</v>
      </c>
      <c r="F32" s="6">
        <v>25</v>
      </c>
      <c r="G32" s="6">
        <v>14</v>
      </c>
      <c r="H32" s="6">
        <v>5.6</v>
      </c>
      <c r="I32" s="6">
        <v>10</v>
      </c>
      <c r="J32" s="6">
        <v>1.6</v>
      </c>
      <c r="K32" s="4">
        <f t="shared" si="0"/>
        <v>43.8</v>
      </c>
      <c r="L32" s="4">
        <f t="shared" si="1"/>
        <v>1.7777777777777777</v>
      </c>
      <c r="M32" s="4">
        <f t="shared" si="2"/>
        <v>460.24</v>
      </c>
      <c r="N32" s="4">
        <f t="shared" si="3"/>
        <v>408.03855644444445</v>
      </c>
      <c r="O32" s="4">
        <f t="shared" si="4"/>
        <v>382.03855644444445</v>
      </c>
      <c r="P32" s="4">
        <v>0</v>
      </c>
      <c r="Q32" s="5" t="s">
        <v>295</v>
      </c>
      <c r="R32" s="5" t="s">
        <v>296</v>
      </c>
      <c r="S32" s="5" t="s">
        <v>31</v>
      </c>
      <c r="T32" s="5" t="s">
        <v>297</v>
      </c>
      <c r="U32" s="5" t="s">
        <v>21</v>
      </c>
    </row>
    <row r="33" spans="1:21" ht="45.2" x14ac:dyDescent="0.3">
      <c r="A33">
        <v>32</v>
      </c>
      <c r="B33" t="s">
        <v>298</v>
      </c>
      <c r="C33" t="s">
        <v>32</v>
      </c>
      <c r="D33" t="s">
        <v>80</v>
      </c>
      <c r="E33" s="3" t="s">
        <v>299</v>
      </c>
      <c r="F33" s="6">
        <v>25.5</v>
      </c>
      <c r="G33" s="6">
        <v>17</v>
      </c>
      <c r="H33" s="6">
        <v>5.3</v>
      </c>
      <c r="I33" s="6">
        <v>11</v>
      </c>
      <c r="J33" s="6">
        <v>1.4</v>
      </c>
      <c r="K33" s="4">
        <f t="shared" si="0"/>
        <v>39.800000000000004</v>
      </c>
      <c r="L33" s="4">
        <f t="shared" si="1"/>
        <v>1.5730337078651686</v>
      </c>
      <c r="M33" s="4">
        <f t="shared" si="2"/>
        <v>474.06999999999994</v>
      </c>
      <c r="N33" s="4">
        <f t="shared" si="3"/>
        <v>421.68792831460667</v>
      </c>
      <c r="O33" s="4">
        <f t="shared" si="4"/>
        <v>395.16792831460668</v>
      </c>
      <c r="P33" s="4">
        <v>0</v>
      </c>
      <c r="Q33" s="5" t="s">
        <v>300</v>
      </c>
      <c r="R33" s="5" t="s">
        <v>301</v>
      </c>
      <c r="S33" s="5" t="s">
        <v>302</v>
      </c>
      <c r="T33" s="5" t="s">
        <v>303</v>
      </c>
      <c r="U33" s="5" t="s">
        <v>60</v>
      </c>
    </row>
    <row r="34" spans="1:21" ht="45.2" x14ac:dyDescent="0.3">
      <c r="A34">
        <v>33</v>
      </c>
      <c r="B34" t="s">
        <v>304</v>
      </c>
      <c r="C34" t="s">
        <v>30</v>
      </c>
      <c r="D34" t="s">
        <v>80</v>
      </c>
      <c r="E34" s="3" t="s">
        <v>305</v>
      </c>
      <c r="F34" s="6">
        <v>28</v>
      </c>
      <c r="G34" s="6">
        <v>16</v>
      </c>
      <c r="H34" s="6">
        <v>5.2</v>
      </c>
      <c r="I34" s="6">
        <v>10</v>
      </c>
      <c r="J34" s="6">
        <v>2</v>
      </c>
      <c r="K34" s="4">
        <f t="shared" si="0"/>
        <v>38.799999999999997</v>
      </c>
      <c r="L34" s="4">
        <f t="shared" si="1"/>
        <v>2.2222222222222223</v>
      </c>
      <c r="M34" s="4">
        <f t="shared" si="2"/>
        <v>477.28</v>
      </c>
      <c r="N34" s="4">
        <f t="shared" si="3"/>
        <v>420.11246222222223</v>
      </c>
      <c r="O34" s="4">
        <f t="shared" si="4"/>
        <v>390.99246222222223</v>
      </c>
      <c r="P34" s="4">
        <v>0</v>
      </c>
      <c r="Q34" s="5" t="s">
        <v>306</v>
      </c>
      <c r="R34" s="5" t="s">
        <v>307</v>
      </c>
      <c r="S34" s="5" t="s">
        <v>72</v>
      </c>
      <c r="T34" s="5" t="s">
        <v>50</v>
      </c>
      <c r="U34" s="5" t="s">
        <v>127</v>
      </c>
    </row>
    <row r="35" spans="1:21" ht="45.2" x14ac:dyDescent="0.3">
      <c r="A35">
        <v>34</v>
      </c>
      <c r="B35" t="s">
        <v>308</v>
      </c>
      <c r="C35" t="s">
        <v>309</v>
      </c>
      <c r="D35" t="s">
        <v>80</v>
      </c>
      <c r="E35" s="3" t="s">
        <v>310</v>
      </c>
      <c r="F35" s="6">
        <v>14.5</v>
      </c>
      <c r="G35" s="6">
        <v>18</v>
      </c>
      <c r="H35" s="6">
        <v>5.5</v>
      </c>
      <c r="I35" s="6">
        <v>10</v>
      </c>
      <c r="J35" s="6">
        <v>3.5</v>
      </c>
      <c r="K35" s="4">
        <f t="shared" si="0"/>
        <v>48.5</v>
      </c>
      <c r="L35" s="4">
        <f t="shared" si="1"/>
        <v>3.8888888888888888</v>
      </c>
      <c r="M35" s="4">
        <f t="shared" si="2"/>
        <v>465.05</v>
      </c>
      <c r="N35" s="4">
        <f t="shared" si="3"/>
        <v>398.26365277777774</v>
      </c>
      <c r="O35" s="4">
        <f t="shared" si="4"/>
        <v>383.18365277777775</v>
      </c>
      <c r="P35" s="4">
        <v>0</v>
      </c>
      <c r="Q35" s="5" t="s">
        <v>311</v>
      </c>
      <c r="R35" s="5" t="s">
        <v>312</v>
      </c>
      <c r="S35" s="5" t="s">
        <v>313</v>
      </c>
      <c r="T35" s="5" t="s">
        <v>314</v>
      </c>
      <c r="U35" s="5" t="s">
        <v>21</v>
      </c>
    </row>
    <row r="36" spans="1:21" ht="45.2" x14ac:dyDescent="0.3">
      <c r="A36">
        <v>35</v>
      </c>
      <c r="B36" t="s">
        <v>308</v>
      </c>
      <c r="C36" t="s">
        <v>309</v>
      </c>
      <c r="D36" t="s">
        <v>80</v>
      </c>
      <c r="E36" s="3" t="s">
        <v>315</v>
      </c>
      <c r="F36" s="6">
        <v>22</v>
      </c>
      <c r="G36" s="6">
        <v>16</v>
      </c>
      <c r="H36" s="6">
        <v>7.5</v>
      </c>
      <c r="I36" s="6">
        <v>10</v>
      </c>
      <c r="J36" s="6">
        <v>4</v>
      </c>
      <c r="K36" s="4">
        <f t="shared" si="0"/>
        <v>40.5</v>
      </c>
      <c r="L36" s="4">
        <f t="shared" si="1"/>
        <v>4.4444444444444446</v>
      </c>
      <c r="M36" s="4">
        <f t="shared" si="2"/>
        <v>458.25</v>
      </c>
      <c r="N36" s="4">
        <f t="shared" si="3"/>
        <v>388.79966666666667</v>
      </c>
      <c r="O36" s="4">
        <f t="shared" si="4"/>
        <v>365.91966666666667</v>
      </c>
      <c r="P36" s="4">
        <v>0</v>
      </c>
      <c r="Q36" s="5" t="s">
        <v>316</v>
      </c>
      <c r="R36" s="5" t="s">
        <v>317</v>
      </c>
      <c r="S36" s="5" t="s">
        <v>313</v>
      </c>
      <c r="T36" s="5" t="s">
        <v>318</v>
      </c>
      <c r="U36" s="5" t="s">
        <v>319</v>
      </c>
    </row>
    <row r="37" spans="1:21" ht="45.2" x14ac:dyDescent="0.3">
      <c r="A37">
        <v>36</v>
      </c>
      <c r="B37" t="s">
        <v>320</v>
      </c>
      <c r="C37" t="s">
        <v>23</v>
      </c>
      <c r="D37" t="s">
        <v>80</v>
      </c>
      <c r="E37" s="3" t="s">
        <v>321</v>
      </c>
      <c r="F37" s="6">
        <v>25</v>
      </c>
      <c r="G37" s="6">
        <v>14</v>
      </c>
      <c r="H37" s="6">
        <v>6.5</v>
      </c>
      <c r="I37" s="6">
        <v>10</v>
      </c>
      <c r="J37" s="6">
        <v>2.5</v>
      </c>
      <c r="K37" s="4">
        <f t="shared" si="0"/>
        <v>42</v>
      </c>
      <c r="L37" s="4">
        <f t="shared" si="1"/>
        <v>2.7777777777777777</v>
      </c>
      <c r="M37" s="4">
        <f t="shared" si="2"/>
        <v>456.55</v>
      </c>
      <c r="N37" s="4">
        <f t="shared" si="3"/>
        <v>398.23841944444445</v>
      </c>
      <c r="O37" s="4">
        <f t="shared" si="4"/>
        <v>372.23841944444445</v>
      </c>
      <c r="P37" s="4">
        <v>0</v>
      </c>
      <c r="Q37" s="5" t="s">
        <v>322</v>
      </c>
      <c r="R37" s="5" t="s">
        <v>323</v>
      </c>
      <c r="S37" s="5" t="s">
        <v>24</v>
      </c>
      <c r="T37" s="5" t="s">
        <v>324</v>
      </c>
      <c r="U37" s="5" t="s">
        <v>21</v>
      </c>
    </row>
    <row r="38" spans="1:21" ht="45.2" x14ac:dyDescent="0.3">
      <c r="A38">
        <v>37</v>
      </c>
      <c r="B38" t="s">
        <v>325</v>
      </c>
      <c r="C38" t="s">
        <v>23</v>
      </c>
      <c r="D38" t="s">
        <v>80</v>
      </c>
      <c r="E38" s="3" t="s">
        <v>326</v>
      </c>
      <c r="F38" s="6">
        <v>26</v>
      </c>
      <c r="G38" s="6">
        <v>16</v>
      </c>
      <c r="H38" s="6">
        <v>6</v>
      </c>
      <c r="I38" s="6">
        <v>10</v>
      </c>
      <c r="J38" s="6">
        <v>2.5</v>
      </c>
      <c r="K38" s="4">
        <f t="shared" si="0"/>
        <v>39.5</v>
      </c>
      <c r="L38" s="4">
        <f t="shared" si="1"/>
        <v>2.7777777777777777</v>
      </c>
      <c r="M38" s="4">
        <f t="shared" si="2"/>
        <v>470.8</v>
      </c>
      <c r="N38" s="4">
        <f t="shared" si="3"/>
        <v>410.66837777777778</v>
      </c>
      <c r="O38" s="4">
        <f t="shared" si="4"/>
        <v>383.62837777777776</v>
      </c>
      <c r="P38" s="4">
        <v>0</v>
      </c>
      <c r="Q38" s="5" t="s">
        <v>327</v>
      </c>
      <c r="R38" s="5" t="s">
        <v>328</v>
      </c>
      <c r="S38" s="5" t="s">
        <v>329</v>
      </c>
      <c r="T38" s="5" t="s">
        <v>330</v>
      </c>
      <c r="U38" s="5" t="s">
        <v>21</v>
      </c>
    </row>
    <row r="39" spans="1:21" ht="75.3" x14ac:dyDescent="0.3">
      <c r="A39">
        <v>38</v>
      </c>
      <c r="B39" t="s">
        <v>331</v>
      </c>
      <c r="C39" t="s">
        <v>332</v>
      </c>
      <c r="D39" t="s">
        <v>80</v>
      </c>
      <c r="E39" s="3" t="s">
        <v>333</v>
      </c>
      <c r="F39" s="6">
        <v>23</v>
      </c>
      <c r="G39" s="6">
        <v>14</v>
      </c>
      <c r="H39" s="6">
        <v>9</v>
      </c>
      <c r="I39" s="6">
        <v>10</v>
      </c>
      <c r="J39" s="6">
        <v>4</v>
      </c>
      <c r="K39" s="4">
        <f t="shared" si="0"/>
        <v>40</v>
      </c>
      <c r="L39" s="4">
        <f t="shared" si="1"/>
        <v>4.4444444444444446</v>
      </c>
      <c r="M39" s="4">
        <f t="shared" si="2"/>
        <v>443.09999999999997</v>
      </c>
      <c r="N39" s="4">
        <f t="shared" si="3"/>
        <v>375.94573333333335</v>
      </c>
      <c r="O39" s="4">
        <f t="shared" si="4"/>
        <v>352.02573333333333</v>
      </c>
      <c r="P39" s="4">
        <v>0</v>
      </c>
      <c r="Q39" s="5" t="s">
        <v>334</v>
      </c>
      <c r="R39" s="5" t="s">
        <v>335</v>
      </c>
      <c r="S39" s="5" t="s">
        <v>336</v>
      </c>
      <c r="T39" s="5" t="s">
        <v>337</v>
      </c>
      <c r="U39" s="5" t="s">
        <v>78</v>
      </c>
    </row>
    <row r="40" spans="1:21" ht="45.2" x14ac:dyDescent="0.3">
      <c r="A40">
        <v>39</v>
      </c>
      <c r="B40" t="s">
        <v>338</v>
      </c>
      <c r="C40" t="s">
        <v>332</v>
      </c>
      <c r="D40" t="s">
        <v>80</v>
      </c>
      <c r="E40" s="3" t="s">
        <v>22</v>
      </c>
      <c r="F40" s="6">
        <v>23</v>
      </c>
      <c r="G40" s="6">
        <v>13</v>
      </c>
      <c r="H40" s="6">
        <v>8.5</v>
      </c>
      <c r="I40" s="6">
        <v>10</v>
      </c>
      <c r="J40" s="6">
        <v>5</v>
      </c>
      <c r="K40" s="4">
        <f t="shared" si="0"/>
        <v>40.5</v>
      </c>
      <c r="L40" s="4">
        <f t="shared" si="1"/>
        <v>5.5555555555555554</v>
      </c>
      <c r="M40" s="4">
        <f t="shared" si="2"/>
        <v>439.85</v>
      </c>
      <c r="N40" s="4">
        <f t="shared" si="3"/>
        <v>366.19956111111117</v>
      </c>
      <c r="O40" s="4">
        <f t="shared" si="4"/>
        <v>342.27956111111115</v>
      </c>
      <c r="P40" s="4">
        <v>0</v>
      </c>
      <c r="Q40" s="5" t="s">
        <v>339</v>
      </c>
      <c r="R40" s="5" t="s">
        <v>340</v>
      </c>
      <c r="S40" s="5" t="s">
        <v>79</v>
      </c>
      <c r="T40" s="5" t="s">
        <v>337</v>
      </c>
      <c r="U40" s="5" t="s">
        <v>78</v>
      </c>
    </row>
    <row r="41" spans="1:21" ht="45.2" x14ac:dyDescent="0.3">
      <c r="A41">
        <v>40</v>
      </c>
      <c r="B41" t="s">
        <v>341</v>
      </c>
      <c r="C41" t="s">
        <v>342</v>
      </c>
      <c r="D41" t="s">
        <v>80</v>
      </c>
      <c r="E41" s="3" t="s">
        <v>343</v>
      </c>
      <c r="F41" s="6">
        <v>16</v>
      </c>
      <c r="G41" s="6">
        <v>14</v>
      </c>
      <c r="H41" s="6">
        <v>7</v>
      </c>
      <c r="I41" s="6">
        <v>10</v>
      </c>
      <c r="J41" s="6">
        <v>3</v>
      </c>
      <c r="K41" s="4">
        <f t="shared" si="0"/>
        <v>50</v>
      </c>
      <c r="L41" s="4">
        <f t="shared" si="1"/>
        <v>3.3333333333333335</v>
      </c>
      <c r="M41" s="4">
        <f t="shared" si="2"/>
        <v>440.1</v>
      </c>
      <c r="N41" s="4">
        <f t="shared" si="3"/>
        <v>380.39310000000006</v>
      </c>
      <c r="O41" s="4">
        <f t="shared" si="4"/>
        <v>363.75310000000007</v>
      </c>
      <c r="P41" s="4">
        <v>0</v>
      </c>
      <c r="Q41" s="5" t="s">
        <v>344</v>
      </c>
      <c r="R41" s="5" t="s">
        <v>63</v>
      </c>
      <c r="S41" s="5" t="s">
        <v>48</v>
      </c>
      <c r="T41" s="5" t="s">
        <v>62</v>
      </c>
      <c r="U41" s="5" t="s">
        <v>51</v>
      </c>
    </row>
    <row r="42" spans="1:21" x14ac:dyDescent="0.3">
      <c r="A42">
        <v>41</v>
      </c>
      <c r="B42" t="s">
        <v>368</v>
      </c>
      <c r="C42" t="s">
        <v>369</v>
      </c>
      <c r="D42" t="s">
        <v>370</v>
      </c>
      <c r="E42" t="s">
        <v>371</v>
      </c>
      <c r="F42" s="6">
        <v>21</v>
      </c>
      <c r="G42" s="6">
        <v>7</v>
      </c>
      <c r="H42" s="6">
        <v>7.5</v>
      </c>
      <c r="I42" s="6">
        <v>10</v>
      </c>
      <c r="J42" s="6">
        <v>4</v>
      </c>
      <c r="K42" s="4">
        <f t="shared" si="0"/>
        <v>50.5</v>
      </c>
      <c r="L42" s="4">
        <f t="shared" si="1"/>
        <v>4.4444444444444446</v>
      </c>
      <c r="M42" s="4">
        <f t="shared" si="2"/>
        <v>408.95</v>
      </c>
      <c r="N42" s="4">
        <f t="shared" si="3"/>
        <v>346.97135555555559</v>
      </c>
      <c r="O42" s="4">
        <f t="shared" si="4"/>
        <v>325.13135555555561</v>
      </c>
      <c r="P42">
        <v>1.5</v>
      </c>
      <c r="Q42" t="s">
        <v>372</v>
      </c>
      <c r="R42" t="s">
        <v>373</v>
      </c>
      <c r="S42" t="s">
        <v>374</v>
      </c>
      <c r="T42" t="s">
        <v>375</v>
      </c>
      <c r="U42" t="s">
        <v>376</v>
      </c>
    </row>
    <row r="43" spans="1:21" x14ac:dyDescent="0.3">
      <c r="A43">
        <v>42</v>
      </c>
      <c r="B43" t="s">
        <v>444</v>
      </c>
      <c r="C43" t="s">
        <v>369</v>
      </c>
      <c r="D43" t="s">
        <v>370</v>
      </c>
      <c r="E43" t="s">
        <v>22</v>
      </c>
      <c r="F43" s="6">
        <v>18</v>
      </c>
      <c r="G43" s="6">
        <v>7</v>
      </c>
      <c r="H43" s="6">
        <v>8</v>
      </c>
      <c r="I43" s="6">
        <v>12</v>
      </c>
      <c r="J43" s="6">
        <v>6</v>
      </c>
      <c r="K43" s="4">
        <f t="shared" si="0"/>
        <v>49</v>
      </c>
      <c r="L43" s="4">
        <f t="shared" si="1"/>
        <v>6.8181818181818183</v>
      </c>
      <c r="M43" s="4">
        <f t="shared" si="2"/>
        <v>393.9</v>
      </c>
      <c r="N43" s="4">
        <f t="shared" si="3"/>
        <v>320.83154999999999</v>
      </c>
      <c r="O43" s="4">
        <f t="shared" si="4"/>
        <v>302.11154999999997</v>
      </c>
      <c r="P43">
        <v>1.29</v>
      </c>
      <c r="Q43" t="s">
        <v>377</v>
      </c>
      <c r="R43" t="s">
        <v>378</v>
      </c>
      <c r="S43" t="s">
        <v>33</v>
      </c>
      <c r="T43" t="s">
        <v>379</v>
      </c>
      <c r="U43" t="s">
        <v>380</v>
      </c>
    </row>
    <row r="44" spans="1:21" x14ac:dyDescent="0.3">
      <c r="A44">
        <v>43</v>
      </c>
      <c r="B44" t="s">
        <v>381</v>
      </c>
      <c r="C44" t="s">
        <v>369</v>
      </c>
      <c r="D44" t="s">
        <v>370</v>
      </c>
      <c r="E44" t="s">
        <v>382</v>
      </c>
      <c r="F44" s="6">
        <v>21</v>
      </c>
      <c r="G44" s="6">
        <v>7</v>
      </c>
      <c r="H44" s="6">
        <v>10</v>
      </c>
      <c r="I44" s="6">
        <v>10</v>
      </c>
      <c r="J44" s="6">
        <v>4</v>
      </c>
      <c r="K44" s="4">
        <f t="shared" si="0"/>
        <v>48</v>
      </c>
      <c r="L44" s="4">
        <f t="shared" si="1"/>
        <v>4.4444444444444446</v>
      </c>
      <c r="M44" s="4">
        <f t="shared" si="2"/>
        <v>398.7</v>
      </c>
      <c r="N44" s="4">
        <f t="shared" si="3"/>
        <v>338.27480000000003</v>
      </c>
      <c r="O44" s="4">
        <f t="shared" si="4"/>
        <v>316.43480000000005</v>
      </c>
      <c r="P44">
        <v>1.36</v>
      </c>
      <c r="Q44" t="s">
        <v>383</v>
      </c>
      <c r="R44" t="s">
        <v>384</v>
      </c>
      <c r="S44" t="s">
        <v>47</v>
      </c>
      <c r="T44" t="s">
        <v>385</v>
      </c>
      <c r="U44" t="s">
        <v>386</v>
      </c>
    </row>
    <row r="45" spans="1:21" x14ac:dyDescent="0.3">
      <c r="A45">
        <v>44</v>
      </c>
      <c r="B45" t="s">
        <v>387</v>
      </c>
      <c r="C45" t="s">
        <v>369</v>
      </c>
      <c r="D45" t="s">
        <v>370</v>
      </c>
      <c r="E45" t="s">
        <v>388</v>
      </c>
      <c r="F45" s="6">
        <v>25</v>
      </c>
      <c r="G45" s="6">
        <v>7</v>
      </c>
      <c r="H45" s="6">
        <v>10</v>
      </c>
      <c r="I45" s="6">
        <v>10</v>
      </c>
      <c r="J45" s="6">
        <v>5</v>
      </c>
      <c r="K45" s="4">
        <f t="shared" si="0"/>
        <v>43</v>
      </c>
      <c r="L45" s="4">
        <f t="shared" si="1"/>
        <v>5.5555555555555554</v>
      </c>
      <c r="M45" s="4">
        <f t="shared" si="2"/>
        <v>405.1</v>
      </c>
      <c r="N45" s="4">
        <f t="shared" si="3"/>
        <v>337.26825555555558</v>
      </c>
      <c r="O45" s="4">
        <f t="shared" si="4"/>
        <v>311.26825555555558</v>
      </c>
      <c r="P45">
        <v>2.58</v>
      </c>
      <c r="Q45" t="s">
        <v>389</v>
      </c>
      <c r="R45" t="s">
        <v>384</v>
      </c>
      <c r="S45" t="s">
        <v>33</v>
      </c>
      <c r="T45" t="s">
        <v>390</v>
      </c>
      <c r="U45" t="s">
        <v>391</v>
      </c>
    </row>
    <row r="46" spans="1:21" x14ac:dyDescent="0.3">
      <c r="A46">
        <v>45</v>
      </c>
      <c r="B46" t="s">
        <v>392</v>
      </c>
      <c r="C46" t="s">
        <v>369</v>
      </c>
      <c r="D46" t="s">
        <v>370</v>
      </c>
      <c r="E46" t="s">
        <v>393</v>
      </c>
      <c r="F46" s="6">
        <v>23</v>
      </c>
      <c r="G46" s="6">
        <v>8</v>
      </c>
      <c r="H46" s="6">
        <v>10</v>
      </c>
      <c r="I46" s="6">
        <v>12</v>
      </c>
      <c r="J46" s="6">
        <v>4</v>
      </c>
      <c r="K46" s="4">
        <f t="shared" si="0"/>
        <v>43</v>
      </c>
      <c r="L46" s="4">
        <f t="shared" si="1"/>
        <v>4.5454545454545459</v>
      </c>
      <c r="M46" s="4">
        <f t="shared" si="2"/>
        <v>399</v>
      </c>
      <c r="N46" s="4">
        <f t="shared" si="3"/>
        <v>337.95300000000003</v>
      </c>
      <c r="O46" s="4">
        <f t="shared" si="4"/>
        <v>314.03300000000002</v>
      </c>
      <c r="P46">
        <v>6.87</v>
      </c>
      <c r="Q46" t="s">
        <v>394</v>
      </c>
      <c r="R46" t="s">
        <v>395</v>
      </c>
      <c r="S46" t="s">
        <v>33</v>
      </c>
      <c r="T46" t="s">
        <v>396</v>
      </c>
      <c r="U46" t="s">
        <v>397</v>
      </c>
    </row>
    <row r="47" spans="1:21" x14ac:dyDescent="0.3">
      <c r="A47">
        <v>46</v>
      </c>
      <c r="B47" t="s">
        <v>392</v>
      </c>
      <c r="C47" t="s">
        <v>369</v>
      </c>
      <c r="D47" t="s">
        <v>370</v>
      </c>
      <c r="E47" t="s">
        <v>398</v>
      </c>
      <c r="F47" s="6">
        <v>21</v>
      </c>
      <c r="G47" s="6">
        <v>7</v>
      </c>
      <c r="H47" s="6">
        <v>8</v>
      </c>
      <c r="I47" s="6">
        <v>12</v>
      </c>
      <c r="J47" s="6">
        <v>4</v>
      </c>
      <c r="K47" s="4">
        <f t="shared" si="0"/>
        <v>48</v>
      </c>
      <c r="L47" s="4">
        <f t="shared" si="1"/>
        <v>4.5454545454545459</v>
      </c>
      <c r="M47" s="4">
        <f t="shared" si="2"/>
        <v>398.7</v>
      </c>
      <c r="N47" s="4">
        <f t="shared" si="3"/>
        <v>337.69889999999998</v>
      </c>
      <c r="O47" s="4">
        <f t="shared" si="4"/>
        <v>315.85890000000001</v>
      </c>
      <c r="P47">
        <v>6.5</v>
      </c>
      <c r="Q47" t="s">
        <v>399</v>
      </c>
      <c r="R47" t="s">
        <v>395</v>
      </c>
      <c r="S47" t="s">
        <v>33</v>
      </c>
      <c r="T47" t="s">
        <v>400</v>
      </c>
      <c r="U47" t="s">
        <v>401</v>
      </c>
    </row>
    <row r="48" spans="1:21" x14ac:dyDescent="0.3">
      <c r="A48">
        <v>47</v>
      </c>
      <c r="B48" t="s">
        <v>392</v>
      </c>
      <c r="C48" t="s">
        <v>369</v>
      </c>
      <c r="D48" t="s">
        <v>370</v>
      </c>
      <c r="E48" t="s">
        <v>402</v>
      </c>
      <c r="F48" s="6">
        <v>27</v>
      </c>
      <c r="G48" s="6">
        <v>8</v>
      </c>
      <c r="H48" s="6">
        <v>8</v>
      </c>
      <c r="I48" s="6">
        <v>12</v>
      </c>
      <c r="J48" s="6">
        <v>3.5</v>
      </c>
      <c r="K48" s="4">
        <f t="shared" si="0"/>
        <v>41.5</v>
      </c>
      <c r="L48" s="4">
        <f t="shared" si="1"/>
        <v>3.9772727272727271</v>
      </c>
      <c r="M48" s="4">
        <f t="shared" si="2"/>
        <v>413.6</v>
      </c>
      <c r="N48" s="4">
        <f t="shared" si="3"/>
        <v>353.67970000000003</v>
      </c>
      <c r="O48" s="4">
        <f t="shared" si="4"/>
        <v>325.59970000000004</v>
      </c>
      <c r="P48">
        <v>3.5</v>
      </c>
      <c r="Q48" t="s">
        <v>403</v>
      </c>
      <c r="R48" t="s">
        <v>404</v>
      </c>
      <c r="S48" t="s">
        <v>33</v>
      </c>
      <c r="T48" t="s">
        <v>396</v>
      </c>
      <c r="U48" t="s">
        <v>405</v>
      </c>
    </row>
    <row r="49" spans="1:21" x14ac:dyDescent="0.3">
      <c r="A49">
        <v>48</v>
      </c>
      <c r="B49" t="s">
        <v>392</v>
      </c>
      <c r="C49" t="s">
        <v>369</v>
      </c>
      <c r="D49" t="s">
        <v>370</v>
      </c>
      <c r="E49" t="s">
        <v>406</v>
      </c>
      <c r="F49" s="6">
        <v>29</v>
      </c>
      <c r="G49" s="6">
        <v>13</v>
      </c>
      <c r="H49" s="6">
        <v>8.5</v>
      </c>
      <c r="I49" s="6">
        <v>12</v>
      </c>
      <c r="J49" s="6">
        <v>3</v>
      </c>
      <c r="K49" s="4">
        <f t="shared" si="0"/>
        <v>34.5</v>
      </c>
      <c r="L49" s="4">
        <f t="shared" si="1"/>
        <v>3.4090909090909092</v>
      </c>
      <c r="M49" s="4">
        <f t="shared" si="2"/>
        <v>441.25</v>
      </c>
      <c r="N49" s="4">
        <f t="shared" si="3"/>
        <v>380.9090625</v>
      </c>
      <c r="O49" s="4">
        <f t="shared" si="4"/>
        <v>350.74906249999998</v>
      </c>
      <c r="P49">
        <v>4.93</v>
      </c>
      <c r="Q49" t="s">
        <v>407</v>
      </c>
      <c r="R49" t="s">
        <v>408</v>
      </c>
      <c r="S49" t="s">
        <v>33</v>
      </c>
      <c r="T49" t="s">
        <v>396</v>
      </c>
      <c r="U49" t="s">
        <v>405</v>
      </c>
    </row>
    <row r="50" spans="1:21" x14ac:dyDescent="0.3">
      <c r="A50">
        <v>49</v>
      </c>
      <c r="B50" t="s">
        <v>409</v>
      </c>
      <c r="C50" t="s">
        <v>369</v>
      </c>
      <c r="D50" t="s">
        <v>370</v>
      </c>
      <c r="E50" t="s">
        <v>410</v>
      </c>
      <c r="F50" s="6">
        <v>23</v>
      </c>
      <c r="G50" s="6">
        <v>10</v>
      </c>
      <c r="H50" s="6">
        <v>9</v>
      </c>
      <c r="I50" s="6">
        <v>10</v>
      </c>
      <c r="J50" s="6">
        <v>4</v>
      </c>
      <c r="K50" s="4">
        <f t="shared" si="0"/>
        <v>44</v>
      </c>
      <c r="L50" s="4">
        <f t="shared" si="1"/>
        <v>4.4444444444444446</v>
      </c>
      <c r="M50" s="4">
        <f t="shared" si="2"/>
        <v>421.9</v>
      </c>
      <c r="N50" s="4">
        <f t="shared" si="3"/>
        <v>357.95871111111114</v>
      </c>
      <c r="O50" s="4">
        <f t="shared" si="4"/>
        <v>334.03871111111113</v>
      </c>
      <c r="P50">
        <v>14</v>
      </c>
      <c r="Q50" t="s">
        <v>411</v>
      </c>
      <c r="R50" t="s">
        <v>412</v>
      </c>
      <c r="S50" t="s">
        <v>48</v>
      </c>
      <c r="T50" t="s">
        <v>49</v>
      </c>
      <c r="U50" t="s">
        <v>413</v>
      </c>
    </row>
    <row r="51" spans="1:21" x14ac:dyDescent="0.3">
      <c r="A51">
        <v>50</v>
      </c>
      <c r="B51" t="s">
        <v>409</v>
      </c>
      <c r="C51" t="s">
        <v>369</v>
      </c>
      <c r="D51" t="s">
        <v>370</v>
      </c>
      <c r="E51" t="s">
        <v>414</v>
      </c>
      <c r="F51" s="6">
        <v>28</v>
      </c>
      <c r="G51" s="6">
        <v>10</v>
      </c>
      <c r="H51" s="6">
        <v>9</v>
      </c>
      <c r="I51" s="6">
        <v>10</v>
      </c>
      <c r="J51" s="6">
        <v>4</v>
      </c>
      <c r="K51" s="4">
        <f t="shared" si="0"/>
        <v>39</v>
      </c>
      <c r="L51" s="4">
        <f t="shared" si="1"/>
        <v>4.4444444444444446</v>
      </c>
      <c r="M51" s="4">
        <f t="shared" si="2"/>
        <v>429.9</v>
      </c>
      <c r="N51" s="4">
        <f t="shared" si="3"/>
        <v>364.74626666666666</v>
      </c>
      <c r="O51" s="4">
        <f t="shared" si="4"/>
        <v>335.62626666666665</v>
      </c>
      <c r="P51">
        <v>9.56</v>
      </c>
      <c r="Q51" t="s">
        <v>411</v>
      </c>
      <c r="R51" t="s">
        <v>412</v>
      </c>
      <c r="S51" t="s">
        <v>48</v>
      </c>
      <c r="T51" t="s">
        <v>49</v>
      </c>
      <c r="U51" t="s">
        <v>413</v>
      </c>
    </row>
    <row r="52" spans="1:21" x14ac:dyDescent="0.3">
      <c r="A52">
        <v>51</v>
      </c>
      <c r="B52" t="s">
        <v>409</v>
      </c>
      <c r="C52" t="s">
        <v>369</v>
      </c>
      <c r="D52" t="s">
        <v>370</v>
      </c>
      <c r="E52" t="s">
        <v>415</v>
      </c>
      <c r="F52" s="6">
        <v>28</v>
      </c>
      <c r="G52" s="6">
        <v>13</v>
      </c>
      <c r="H52" s="6">
        <v>9.5</v>
      </c>
      <c r="I52" s="6">
        <v>10</v>
      </c>
      <c r="J52" s="6">
        <v>4</v>
      </c>
      <c r="K52" s="4">
        <f t="shared" si="0"/>
        <v>35.5</v>
      </c>
      <c r="L52" s="4">
        <f t="shared" si="1"/>
        <v>4.4444444444444446</v>
      </c>
      <c r="M52" s="4">
        <f t="shared" si="2"/>
        <v>443.75</v>
      </c>
      <c r="N52" s="4">
        <f t="shared" si="3"/>
        <v>376.49722222222226</v>
      </c>
      <c r="O52" s="4">
        <f t="shared" si="4"/>
        <v>347.37722222222226</v>
      </c>
      <c r="P52">
        <v>8.4</v>
      </c>
      <c r="Q52" t="s">
        <v>416</v>
      </c>
      <c r="R52" t="s">
        <v>412</v>
      </c>
      <c r="S52" t="s">
        <v>48</v>
      </c>
      <c r="T52" t="s">
        <v>49</v>
      </c>
      <c r="U52" t="s">
        <v>413</v>
      </c>
    </row>
    <row r="53" spans="1:21" x14ac:dyDescent="0.3">
      <c r="A53">
        <v>52</v>
      </c>
      <c r="B53" t="s">
        <v>445</v>
      </c>
      <c r="C53" t="s">
        <v>446</v>
      </c>
      <c r="D53" t="s">
        <v>370</v>
      </c>
      <c r="E53" t="s">
        <v>447</v>
      </c>
      <c r="F53" s="6">
        <v>22</v>
      </c>
      <c r="G53" s="6">
        <v>6</v>
      </c>
      <c r="H53" s="6">
        <v>8</v>
      </c>
      <c r="I53" s="6">
        <v>12</v>
      </c>
      <c r="J53" s="6">
        <v>4</v>
      </c>
      <c r="K53" s="4">
        <f t="shared" si="0"/>
        <v>48</v>
      </c>
      <c r="L53" s="4">
        <f t="shared" si="1"/>
        <v>4.5454545454545459</v>
      </c>
      <c r="M53" s="4">
        <f t="shared" si="2"/>
        <v>395</v>
      </c>
      <c r="N53" s="4">
        <f t="shared" si="3"/>
        <v>334.565</v>
      </c>
      <c r="O53" s="4">
        <f t="shared" si="4"/>
        <v>311.685</v>
      </c>
      <c r="P53" s="1">
        <v>2.93</v>
      </c>
      <c r="Q53" t="s">
        <v>448</v>
      </c>
      <c r="R53" t="s">
        <v>449</v>
      </c>
      <c r="S53" t="s">
        <v>450</v>
      </c>
      <c r="T53" t="s">
        <v>451</v>
      </c>
      <c r="U53" t="s">
        <v>21</v>
      </c>
    </row>
    <row r="54" spans="1:21" x14ac:dyDescent="0.3">
      <c r="A54">
        <v>53</v>
      </c>
      <c r="B54" t="s">
        <v>452</v>
      </c>
      <c r="C54" t="s">
        <v>453</v>
      </c>
      <c r="D54" t="s">
        <v>370</v>
      </c>
      <c r="E54" t="s">
        <v>454</v>
      </c>
      <c r="F54" s="6">
        <v>27</v>
      </c>
      <c r="G54" s="6">
        <v>15</v>
      </c>
      <c r="H54" s="6">
        <v>9</v>
      </c>
      <c r="I54" s="6">
        <v>10</v>
      </c>
      <c r="J54" s="6">
        <v>6</v>
      </c>
      <c r="K54" s="4">
        <f t="shared" si="0"/>
        <v>33</v>
      </c>
      <c r="L54" s="4">
        <f t="shared" si="1"/>
        <v>6.666666666666667</v>
      </c>
      <c r="M54" s="4">
        <f t="shared" si="2"/>
        <v>454.79999999999995</v>
      </c>
      <c r="N54" s="4">
        <f t="shared" si="3"/>
        <v>371.42</v>
      </c>
      <c r="O54" s="4">
        <f t="shared" si="4"/>
        <v>343.34000000000003</v>
      </c>
      <c r="P54" s="1">
        <v>12.5</v>
      </c>
      <c r="Q54" t="s">
        <v>455</v>
      </c>
      <c r="R54" t="s">
        <v>449</v>
      </c>
      <c r="S54" t="s">
        <v>450</v>
      </c>
      <c r="T54" t="s">
        <v>456</v>
      </c>
      <c r="U54" t="s">
        <v>21</v>
      </c>
    </row>
    <row r="55" spans="1:21" x14ac:dyDescent="0.3">
      <c r="A55">
        <v>54</v>
      </c>
      <c r="B55" t="s">
        <v>457</v>
      </c>
      <c r="C55" t="s">
        <v>453</v>
      </c>
      <c r="D55" t="s">
        <v>370</v>
      </c>
      <c r="E55" t="s">
        <v>458</v>
      </c>
      <c r="F55" s="6">
        <v>25</v>
      </c>
      <c r="G55" s="6">
        <v>9</v>
      </c>
      <c r="H55" s="6">
        <v>9</v>
      </c>
      <c r="I55" s="6">
        <v>12</v>
      </c>
      <c r="J55" s="6">
        <v>3</v>
      </c>
      <c r="K55" s="4">
        <f t="shared" si="0"/>
        <v>42</v>
      </c>
      <c r="L55" s="4">
        <f t="shared" si="1"/>
        <v>3.4090909090909092</v>
      </c>
      <c r="M55" s="4">
        <f t="shared" si="2"/>
        <v>411.6</v>
      </c>
      <c r="N55" s="4">
        <f t="shared" si="3"/>
        <v>355.31370000000004</v>
      </c>
      <c r="O55" s="4">
        <f t="shared" si="4"/>
        <v>329.31370000000004</v>
      </c>
      <c r="P55" s="1">
        <v>1.72</v>
      </c>
      <c r="Q55" t="s">
        <v>459</v>
      </c>
      <c r="R55" t="s">
        <v>378</v>
      </c>
      <c r="S55" t="s">
        <v>460</v>
      </c>
      <c r="T55" t="s">
        <v>461</v>
      </c>
      <c r="U55" t="s">
        <v>462</v>
      </c>
    </row>
    <row r="56" spans="1:21" x14ac:dyDescent="0.3">
      <c r="A56">
        <v>55</v>
      </c>
      <c r="B56" t="s">
        <v>463</v>
      </c>
      <c r="C56" t="s">
        <v>446</v>
      </c>
      <c r="D56" t="s">
        <v>370</v>
      </c>
      <c r="E56" t="s">
        <v>20</v>
      </c>
      <c r="F56" s="6">
        <v>18</v>
      </c>
      <c r="G56" s="6">
        <v>7</v>
      </c>
      <c r="H56" s="6">
        <v>7</v>
      </c>
      <c r="I56" s="6">
        <v>10</v>
      </c>
      <c r="J56" s="6">
        <v>5</v>
      </c>
      <c r="K56" s="4">
        <f t="shared" si="0"/>
        <v>53</v>
      </c>
      <c r="L56" s="4">
        <f t="shared" si="1"/>
        <v>5.5555555555555554</v>
      </c>
      <c r="M56" s="4">
        <f t="shared" si="2"/>
        <v>406.2</v>
      </c>
      <c r="N56" s="4">
        <f t="shared" si="3"/>
        <v>338.18406666666669</v>
      </c>
      <c r="O56" s="4">
        <f t="shared" si="4"/>
        <v>319.46406666666667</v>
      </c>
      <c r="P56" s="1">
        <v>1.06</v>
      </c>
      <c r="Q56" t="s">
        <v>464</v>
      </c>
      <c r="R56" t="s">
        <v>465</v>
      </c>
      <c r="S56" t="s">
        <v>466</v>
      </c>
      <c r="T56" t="s">
        <v>467</v>
      </c>
      <c r="U56" t="s">
        <v>56</v>
      </c>
    </row>
    <row r="57" spans="1:21" x14ac:dyDescent="0.3">
      <c r="A57">
        <v>56</v>
      </c>
      <c r="B57" t="s">
        <v>482</v>
      </c>
      <c r="C57" t="s">
        <v>483</v>
      </c>
      <c r="D57" t="s">
        <v>370</v>
      </c>
      <c r="E57" t="s">
        <v>484</v>
      </c>
      <c r="F57" s="6">
        <v>32</v>
      </c>
      <c r="G57" s="6">
        <v>18</v>
      </c>
      <c r="H57" s="6">
        <v>8.8000000000000007</v>
      </c>
      <c r="I57" s="6">
        <v>10</v>
      </c>
      <c r="J57" s="6">
        <v>4</v>
      </c>
      <c r="K57" s="4">
        <f t="shared" si="0"/>
        <v>27.200000000000003</v>
      </c>
      <c r="L57" s="4">
        <f t="shared" si="1"/>
        <v>4.4444444444444446</v>
      </c>
      <c r="M57" s="4">
        <f t="shared" si="2"/>
        <v>479.52000000000004</v>
      </c>
      <c r="N57" s="4">
        <f t="shared" si="3"/>
        <v>406.84608000000009</v>
      </c>
      <c r="O57" s="4">
        <f t="shared" si="4"/>
        <v>373.56608000000006</v>
      </c>
      <c r="P57" s="1">
        <v>9</v>
      </c>
      <c r="Q57" t="s">
        <v>485</v>
      </c>
      <c r="R57" t="s">
        <v>486</v>
      </c>
      <c r="S57" t="s">
        <v>55</v>
      </c>
      <c r="T57" t="s">
        <v>487</v>
      </c>
      <c r="U57" t="s">
        <v>21</v>
      </c>
    </row>
    <row r="58" spans="1:21" x14ac:dyDescent="0.3">
      <c r="A58">
        <v>57</v>
      </c>
      <c r="B58" t="s">
        <v>488</v>
      </c>
      <c r="C58" t="s">
        <v>483</v>
      </c>
      <c r="D58" t="s">
        <v>370</v>
      </c>
      <c r="E58" t="s">
        <v>20</v>
      </c>
      <c r="F58" s="6">
        <v>32</v>
      </c>
      <c r="G58" s="6">
        <v>18</v>
      </c>
      <c r="H58" s="6">
        <v>8</v>
      </c>
      <c r="I58" s="6">
        <v>10</v>
      </c>
      <c r="J58" s="6">
        <v>4</v>
      </c>
      <c r="K58" s="4">
        <f t="shared" si="0"/>
        <v>28</v>
      </c>
      <c r="L58" s="4">
        <f t="shared" si="1"/>
        <v>4.4444444444444446</v>
      </c>
      <c r="M58" s="4">
        <f t="shared" si="2"/>
        <v>482.8</v>
      </c>
      <c r="N58" s="4">
        <f t="shared" si="3"/>
        <v>409.62897777777783</v>
      </c>
      <c r="O58" s="4">
        <f t="shared" si="4"/>
        <v>376.3489777777778</v>
      </c>
      <c r="P58" s="1">
        <v>11.66</v>
      </c>
      <c r="Q58" t="s">
        <v>489</v>
      </c>
      <c r="R58" t="s">
        <v>490</v>
      </c>
      <c r="S58" t="s">
        <v>55</v>
      </c>
      <c r="T58" t="s">
        <v>491</v>
      </c>
      <c r="U58" t="s">
        <v>492</v>
      </c>
    </row>
    <row r="59" spans="1:21" x14ac:dyDescent="0.3">
      <c r="A59">
        <v>58</v>
      </c>
      <c r="B59" t="s">
        <v>32</v>
      </c>
      <c r="C59" t="s">
        <v>32</v>
      </c>
      <c r="D59" t="s">
        <v>370</v>
      </c>
      <c r="E59" t="s">
        <v>305</v>
      </c>
      <c r="F59" s="6">
        <v>28</v>
      </c>
      <c r="G59" s="6">
        <v>14</v>
      </c>
      <c r="H59" s="6">
        <v>5.0999999999999996</v>
      </c>
      <c r="I59" s="6">
        <v>10</v>
      </c>
      <c r="J59" s="6">
        <v>2.1</v>
      </c>
      <c r="K59" s="4">
        <f t="shared" ref="K59:K117" si="5">100-(F59+G59+H59+I59+J59)</f>
        <v>40.799999999999997</v>
      </c>
      <c r="L59" s="4">
        <f t="shared" ref="L59:L117" si="6">(100*J59)/(100-I59)</f>
        <v>2.3333333333333335</v>
      </c>
      <c r="M59" s="4">
        <f t="shared" ref="M59:M117" si="7">(5.7*F59)+(9.4*G59)+(4.1*(K59+J59))</f>
        <v>467.09</v>
      </c>
      <c r="N59" s="4">
        <f t="shared" ref="N59:N117" si="8">((91.2-(1.43*L59))*M59)/100</f>
        <v>410.40084366666662</v>
      </c>
      <c r="O59" s="4">
        <f t="shared" si="4"/>
        <v>381.28084366666661</v>
      </c>
      <c r="P59" s="1">
        <v>27.17</v>
      </c>
      <c r="Q59" t="s">
        <v>497</v>
      </c>
      <c r="R59" t="s">
        <v>498</v>
      </c>
      <c r="S59" t="s">
        <v>499</v>
      </c>
      <c r="T59" t="s">
        <v>500</v>
      </c>
      <c r="U59" t="s">
        <v>60</v>
      </c>
    </row>
    <row r="60" spans="1:21" x14ac:dyDescent="0.3">
      <c r="A60">
        <v>59</v>
      </c>
      <c r="B60" t="s">
        <v>537</v>
      </c>
      <c r="C60" t="s">
        <v>538</v>
      </c>
      <c r="D60" t="s">
        <v>370</v>
      </c>
      <c r="E60" t="s">
        <v>539</v>
      </c>
      <c r="F60" s="6">
        <v>26</v>
      </c>
      <c r="G60" s="6">
        <v>12</v>
      </c>
      <c r="H60" s="6">
        <v>8.5</v>
      </c>
      <c r="I60" s="6">
        <v>12</v>
      </c>
      <c r="J60" s="6">
        <v>4</v>
      </c>
      <c r="K60" s="4">
        <f t="shared" si="5"/>
        <v>37.5</v>
      </c>
      <c r="L60" s="4">
        <f t="shared" si="6"/>
        <v>4.5454545454545459</v>
      </c>
      <c r="M60" s="4">
        <f t="shared" si="7"/>
        <v>431.15</v>
      </c>
      <c r="N60" s="4">
        <f t="shared" si="8"/>
        <v>365.18405000000001</v>
      </c>
      <c r="O60" s="4">
        <f t="shared" si="4"/>
        <v>338.14404999999999</v>
      </c>
      <c r="P60" s="1">
        <v>6.33</v>
      </c>
      <c r="Q60" t="s">
        <v>540</v>
      </c>
      <c r="R60" t="s">
        <v>541</v>
      </c>
      <c r="S60" t="s">
        <v>68</v>
      </c>
      <c r="T60" t="s">
        <v>542</v>
      </c>
      <c r="U60" t="s">
        <v>543</v>
      </c>
    </row>
    <row r="61" spans="1:21" x14ac:dyDescent="0.3">
      <c r="A61">
        <v>60</v>
      </c>
      <c r="B61" t="s">
        <v>537</v>
      </c>
      <c r="C61" t="s">
        <v>538</v>
      </c>
      <c r="D61" t="s">
        <v>370</v>
      </c>
      <c r="E61" t="s">
        <v>544</v>
      </c>
      <c r="F61" s="6">
        <v>29</v>
      </c>
      <c r="G61" s="6">
        <v>17</v>
      </c>
      <c r="H61" s="6">
        <v>9</v>
      </c>
      <c r="I61" s="6">
        <v>12</v>
      </c>
      <c r="J61" s="6">
        <v>3</v>
      </c>
      <c r="K61" s="4">
        <f t="shared" si="5"/>
        <v>30</v>
      </c>
      <c r="L61" s="4">
        <f t="shared" si="6"/>
        <v>3.4090909090909092</v>
      </c>
      <c r="M61" s="4">
        <f t="shared" si="7"/>
        <v>460.4</v>
      </c>
      <c r="N61" s="4">
        <f t="shared" si="8"/>
        <v>397.44029999999998</v>
      </c>
      <c r="O61" s="4">
        <f t="shared" si="4"/>
        <v>367.28029999999995</v>
      </c>
      <c r="P61" s="1">
        <v>10.67</v>
      </c>
      <c r="Q61" t="s">
        <v>545</v>
      </c>
      <c r="R61" t="s">
        <v>546</v>
      </c>
      <c r="S61" t="s">
        <v>442</v>
      </c>
      <c r="T61" t="s">
        <v>547</v>
      </c>
      <c r="U61" t="s">
        <v>548</v>
      </c>
    </row>
    <row r="62" spans="1:21" x14ac:dyDescent="0.3">
      <c r="A62">
        <v>61</v>
      </c>
      <c r="B62" t="s">
        <v>549</v>
      </c>
      <c r="C62" t="s">
        <v>538</v>
      </c>
      <c r="D62" t="s">
        <v>370</v>
      </c>
      <c r="E62" t="s">
        <v>484</v>
      </c>
      <c r="F62" s="6">
        <v>23</v>
      </c>
      <c r="G62" s="6">
        <v>10</v>
      </c>
      <c r="H62" s="6">
        <v>6</v>
      </c>
      <c r="I62" s="6">
        <v>10</v>
      </c>
      <c r="J62" s="6">
        <v>2.5</v>
      </c>
      <c r="K62" s="4">
        <f t="shared" si="5"/>
        <v>48.5</v>
      </c>
      <c r="L62" s="4">
        <f t="shared" si="6"/>
        <v>2.7777777777777777</v>
      </c>
      <c r="M62" s="4">
        <f t="shared" si="7"/>
        <v>434.2</v>
      </c>
      <c r="N62" s="4">
        <f t="shared" si="8"/>
        <v>378.74301111111112</v>
      </c>
      <c r="O62" s="4">
        <f t="shared" si="4"/>
        <v>354.8230111111111</v>
      </c>
      <c r="P62" s="1">
        <v>12</v>
      </c>
      <c r="Q62" t="s">
        <v>550</v>
      </c>
      <c r="R62" t="s">
        <v>551</v>
      </c>
      <c r="S62" t="s">
        <v>499</v>
      </c>
      <c r="T62" t="s">
        <v>552</v>
      </c>
      <c r="U62" t="s">
        <v>553</v>
      </c>
    </row>
    <row r="63" spans="1:21" x14ac:dyDescent="0.3">
      <c r="A63">
        <v>62</v>
      </c>
      <c r="B63" t="s">
        <v>554</v>
      </c>
      <c r="C63" t="s">
        <v>554</v>
      </c>
      <c r="D63" t="s">
        <v>370</v>
      </c>
      <c r="E63" t="s">
        <v>20</v>
      </c>
      <c r="F63" s="6">
        <v>22</v>
      </c>
      <c r="G63" s="6">
        <v>12</v>
      </c>
      <c r="H63" s="6">
        <v>9.3000000000000007</v>
      </c>
      <c r="I63" s="6">
        <v>10</v>
      </c>
      <c r="J63" s="6">
        <v>5.5</v>
      </c>
      <c r="K63" s="4">
        <f t="shared" si="5"/>
        <v>41.2</v>
      </c>
      <c r="L63" s="4">
        <f t="shared" si="6"/>
        <v>6.1111111111111107</v>
      </c>
      <c r="M63" s="4">
        <f t="shared" si="7"/>
        <v>429.67</v>
      </c>
      <c r="N63" s="4">
        <f t="shared" si="8"/>
        <v>354.31065611111109</v>
      </c>
      <c r="O63" s="4">
        <f t="shared" si="4"/>
        <v>331.43065611111109</v>
      </c>
      <c r="P63" s="1">
        <v>3.61</v>
      </c>
      <c r="Q63" t="s">
        <v>555</v>
      </c>
      <c r="R63" t="s">
        <v>556</v>
      </c>
      <c r="S63" t="s">
        <v>557</v>
      </c>
      <c r="T63" t="s">
        <v>558</v>
      </c>
      <c r="U63" t="s">
        <v>559</v>
      </c>
    </row>
    <row r="64" spans="1:21" x14ac:dyDescent="0.3">
      <c r="A64">
        <v>63</v>
      </c>
      <c r="B64" t="s">
        <v>560</v>
      </c>
      <c r="C64" t="s">
        <v>554</v>
      </c>
      <c r="D64" t="s">
        <v>370</v>
      </c>
      <c r="E64" t="s">
        <v>20</v>
      </c>
      <c r="F64" s="6">
        <v>22</v>
      </c>
      <c r="G64" s="6">
        <v>12</v>
      </c>
      <c r="H64" s="6">
        <v>7</v>
      </c>
      <c r="I64" s="6">
        <v>10</v>
      </c>
      <c r="J64" s="6">
        <v>6</v>
      </c>
      <c r="K64" s="4">
        <f t="shared" si="5"/>
        <v>43</v>
      </c>
      <c r="L64" s="4">
        <f t="shared" si="6"/>
        <v>6.666666666666667</v>
      </c>
      <c r="M64" s="4">
        <f t="shared" si="7"/>
        <v>439.1</v>
      </c>
      <c r="N64" s="4">
        <f t="shared" si="8"/>
        <v>358.59833333333336</v>
      </c>
      <c r="O64" s="4">
        <f t="shared" si="4"/>
        <v>335.71833333333336</v>
      </c>
      <c r="P64" s="1">
        <v>20</v>
      </c>
      <c r="Q64" t="s">
        <v>561</v>
      </c>
      <c r="R64" t="s">
        <v>562</v>
      </c>
      <c r="S64" t="s">
        <v>557</v>
      </c>
      <c r="T64" t="s">
        <v>563</v>
      </c>
      <c r="U64" t="s">
        <v>564</v>
      </c>
    </row>
    <row r="65" spans="1:21" x14ac:dyDescent="0.3">
      <c r="A65">
        <v>64</v>
      </c>
      <c r="B65" t="s">
        <v>565</v>
      </c>
      <c r="C65" t="s">
        <v>554</v>
      </c>
      <c r="D65" t="s">
        <v>370</v>
      </c>
      <c r="E65" t="s">
        <v>566</v>
      </c>
      <c r="F65" s="6">
        <v>30</v>
      </c>
      <c r="G65" s="6">
        <v>20</v>
      </c>
      <c r="H65" s="6">
        <v>8</v>
      </c>
      <c r="I65" s="6">
        <v>10</v>
      </c>
      <c r="J65" s="6">
        <v>4</v>
      </c>
      <c r="K65" s="4">
        <f t="shared" si="5"/>
        <v>28</v>
      </c>
      <c r="L65" s="4">
        <f t="shared" si="6"/>
        <v>4.4444444444444446</v>
      </c>
      <c r="M65" s="4">
        <f t="shared" si="7"/>
        <v>490.2</v>
      </c>
      <c r="N65" s="4">
        <f t="shared" si="8"/>
        <v>415.90746666666666</v>
      </c>
      <c r="O65" s="4">
        <f t="shared" si="4"/>
        <v>384.70746666666668</v>
      </c>
      <c r="P65" s="1">
        <v>22</v>
      </c>
      <c r="Q65" t="s">
        <v>567</v>
      </c>
      <c r="R65" t="s">
        <v>568</v>
      </c>
      <c r="S65" t="s">
        <v>557</v>
      </c>
      <c r="T65" t="s">
        <v>563</v>
      </c>
      <c r="U65" t="s">
        <v>564</v>
      </c>
    </row>
    <row r="66" spans="1:21" x14ac:dyDescent="0.3">
      <c r="A66">
        <v>65</v>
      </c>
      <c r="B66" t="s">
        <v>537</v>
      </c>
      <c r="C66" t="s">
        <v>538</v>
      </c>
      <c r="D66" t="s">
        <v>370</v>
      </c>
      <c r="E66" t="s">
        <v>604</v>
      </c>
      <c r="F66" s="6">
        <v>26</v>
      </c>
      <c r="G66" s="6">
        <v>15</v>
      </c>
      <c r="H66" s="6">
        <v>8.5</v>
      </c>
      <c r="I66" s="6">
        <v>12</v>
      </c>
      <c r="J66" s="6">
        <v>3</v>
      </c>
      <c r="K66" s="4">
        <f t="shared" si="5"/>
        <v>35.5</v>
      </c>
      <c r="L66" s="4">
        <f t="shared" si="6"/>
        <v>3.4090909090909092</v>
      </c>
      <c r="M66" s="4">
        <f t="shared" si="7"/>
        <v>447.05000000000007</v>
      </c>
      <c r="N66" s="4">
        <f t="shared" si="8"/>
        <v>385.91591250000005</v>
      </c>
      <c r="O66" s="4">
        <f t="shared" si="4"/>
        <v>358.87591250000003</v>
      </c>
      <c r="P66" s="1">
        <v>7.17</v>
      </c>
      <c r="Q66" t="s">
        <v>569</v>
      </c>
      <c r="R66" t="s">
        <v>570</v>
      </c>
      <c r="S66" t="s">
        <v>33</v>
      </c>
      <c r="T66" t="s">
        <v>542</v>
      </c>
      <c r="U66" t="s">
        <v>571</v>
      </c>
    </row>
    <row r="67" spans="1:21" x14ac:dyDescent="0.3">
      <c r="A67">
        <v>66</v>
      </c>
      <c r="B67" t="s">
        <v>606</v>
      </c>
      <c r="C67" t="s">
        <v>639</v>
      </c>
      <c r="D67" t="s">
        <v>370</v>
      </c>
      <c r="E67" t="s">
        <v>484</v>
      </c>
      <c r="F67" s="1">
        <v>20</v>
      </c>
      <c r="G67" s="1">
        <v>6</v>
      </c>
      <c r="H67" s="1">
        <v>8</v>
      </c>
      <c r="I67" s="1">
        <v>12</v>
      </c>
      <c r="J67" s="1">
        <v>5</v>
      </c>
      <c r="K67" s="4">
        <f t="shared" ref="K67:K117" si="9">100-(F67+G67+H67+I67+J67)</f>
        <v>49</v>
      </c>
      <c r="L67" s="4">
        <f t="shared" ref="L67:L117" si="10">(100*J67)/(100-I67)</f>
        <v>5.6818181818181817</v>
      </c>
      <c r="M67" s="4">
        <f t="shared" ref="M67:M117" si="11">(5.7*F67)+(9.4*G67)+(4.1*(K67+J67))</f>
        <v>391.79999999999995</v>
      </c>
      <c r="N67" s="4">
        <f t="shared" ref="N67:N117" si="12">((91.2-(1.43*L67))*M67)/100</f>
        <v>325.48784999999998</v>
      </c>
      <c r="O67" s="4">
        <f t="shared" ref="O67:O117" si="13">N67-(1.04*F67)</f>
        <v>304.68784999999997</v>
      </c>
      <c r="P67" s="1">
        <v>1.32</v>
      </c>
      <c r="Q67" t="s">
        <v>607</v>
      </c>
      <c r="R67" t="s">
        <v>608</v>
      </c>
      <c r="S67" t="s">
        <v>24</v>
      </c>
      <c r="T67" t="s">
        <v>609</v>
      </c>
      <c r="U67" t="s">
        <v>610</v>
      </c>
    </row>
    <row r="68" spans="1:21" x14ac:dyDescent="0.3">
      <c r="A68">
        <v>67</v>
      </c>
      <c r="B68" t="s">
        <v>611</v>
      </c>
      <c r="C68" t="s">
        <v>640</v>
      </c>
      <c r="D68" t="s">
        <v>370</v>
      </c>
      <c r="E68" t="s">
        <v>20</v>
      </c>
      <c r="F68" s="1">
        <v>22</v>
      </c>
      <c r="G68" s="1">
        <v>10</v>
      </c>
      <c r="H68" s="1">
        <v>8</v>
      </c>
      <c r="I68" s="1">
        <v>10</v>
      </c>
      <c r="J68" s="1">
        <v>4</v>
      </c>
      <c r="K68" s="4">
        <f t="shared" si="9"/>
        <v>46</v>
      </c>
      <c r="L68" s="4">
        <f t="shared" si="10"/>
        <v>4.4444444444444446</v>
      </c>
      <c r="M68" s="4">
        <f t="shared" si="11"/>
        <v>424.4</v>
      </c>
      <c r="N68" s="4">
        <f t="shared" si="12"/>
        <v>360.07982222222222</v>
      </c>
      <c r="O68" s="4">
        <f t="shared" si="13"/>
        <v>337.19982222222222</v>
      </c>
      <c r="P68" s="1">
        <v>2.2999999999999998</v>
      </c>
      <c r="Q68" t="s">
        <v>612</v>
      </c>
      <c r="R68" t="s">
        <v>613</v>
      </c>
      <c r="S68" t="s">
        <v>614</v>
      </c>
      <c r="T68" t="s">
        <v>615</v>
      </c>
      <c r="U68" t="s">
        <v>616</v>
      </c>
    </row>
    <row r="69" spans="1:21" x14ac:dyDescent="0.3">
      <c r="A69">
        <v>68</v>
      </c>
      <c r="B69" t="s">
        <v>617</v>
      </c>
      <c r="C69" t="s">
        <v>640</v>
      </c>
      <c r="D69" t="s">
        <v>370</v>
      </c>
      <c r="E69" t="s">
        <v>566</v>
      </c>
      <c r="F69" s="1">
        <v>28</v>
      </c>
      <c r="G69" s="1">
        <v>10</v>
      </c>
      <c r="H69" s="1">
        <v>8</v>
      </c>
      <c r="I69" s="1">
        <v>10</v>
      </c>
      <c r="J69" s="1">
        <v>4</v>
      </c>
      <c r="K69" s="4">
        <f t="shared" si="9"/>
        <v>40</v>
      </c>
      <c r="L69" s="4">
        <f t="shared" si="10"/>
        <v>4.4444444444444446</v>
      </c>
      <c r="M69" s="4">
        <f t="shared" si="11"/>
        <v>434</v>
      </c>
      <c r="N69" s="4">
        <f t="shared" si="12"/>
        <v>368.22488888888887</v>
      </c>
      <c r="O69" s="4">
        <f t="shared" si="13"/>
        <v>339.10488888888887</v>
      </c>
      <c r="P69" s="1">
        <v>2.5</v>
      </c>
      <c r="Q69" t="s">
        <v>618</v>
      </c>
      <c r="R69" t="s">
        <v>619</v>
      </c>
      <c r="S69" t="s">
        <v>620</v>
      </c>
      <c r="T69" t="s">
        <v>621</v>
      </c>
      <c r="U69" t="s">
        <v>622</v>
      </c>
    </row>
    <row r="70" spans="1:21" x14ac:dyDescent="0.3">
      <c r="A70">
        <v>69</v>
      </c>
      <c r="B70" t="s">
        <v>623</v>
      </c>
      <c r="C70" t="s">
        <v>639</v>
      </c>
      <c r="D70" t="s">
        <v>370</v>
      </c>
      <c r="E70" t="s">
        <v>22</v>
      </c>
      <c r="F70" s="1">
        <v>20</v>
      </c>
      <c r="G70" s="1">
        <v>6</v>
      </c>
      <c r="H70" s="1">
        <v>8</v>
      </c>
      <c r="I70" s="1">
        <v>12</v>
      </c>
      <c r="J70" s="1">
        <v>5</v>
      </c>
      <c r="K70" s="4">
        <f t="shared" si="9"/>
        <v>49</v>
      </c>
      <c r="L70" s="4">
        <f t="shared" si="10"/>
        <v>5.6818181818181817</v>
      </c>
      <c r="M70" s="4">
        <f t="shared" si="11"/>
        <v>391.79999999999995</v>
      </c>
      <c r="N70" s="4">
        <f t="shared" si="12"/>
        <v>325.48784999999998</v>
      </c>
      <c r="O70" s="4">
        <f t="shared" si="13"/>
        <v>304.68784999999997</v>
      </c>
      <c r="P70" s="1">
        <v>1.31</v>
      </c>
      <c r="Q70" t="s">
        <v>624</v>
      </c>
      <c r="R70" t="s">
        <v>625</v>
      </c>
      <c r="S70" t="s">
        <v>626</v>
      </c>
      <c r="T70" t="s">
        <v>627</v>
      </c>
      <c r="U70" t="s">
        <v>628</v>
      </c>
    </row>
    <row r="71" spans="1:21" x14ac:dyDescent="0.3">
      <c r="A71">
        <v>70</v>
      </c>
      <c r="B71" t="s">
        <v>629</v>
      </c>
      <c r="C71" t="s">
        <v>29</v>
      </c>
      <c r="D71" t="s">
        <v>370</v>
      </c>
      <c r="E71" t="s">
        <v>421</v>
      </c>
      <c r="F71" s="1">
        <v>20</v>
      </c>
      <c r="G71" s="1">
        <v>8</v>
      </c>
      <c r="H71" s="1">
        <v>10</v>
      </c>
      <c r="I71" s="1">
        <v>12</v>
      </c>
      <c r="J71" s="1">
        <v>4</v>
      </c>
      <c r="K71" s="4">
        <f t="shared" si="9"/>
        <v>46</v>
      </c>
      <c r="L71" s="4">
        <f t="shared" si="10"/>
        <v>4.5454545454545459</v>
      </c>
      <c r="M71" s="4">
        <f t="shared" si="11"/>
        <v>394.19999999999993</v>
      </c>
      <c r="N71" s="4">
        <f t="shared" si="12"/>
        <v>333.88739999999996</v>
      </c>
      <c r="O71" s="4">
        <f t="shared" si="13"/>
        <v>313.08739999999995</v>
      </c>
      <c r="P71" s="1">
        <v>1.1299999999999999</v>
      </c>
      <c r="Q71" t="s">
        <v>630</v>
      </c>
      <c r="R71" t="s">
        <v>631</v>
      </c>
      <c r="S71" t="s">
        <v>54</v>
      </c>
      <c r="T71" t="s">
        <v>632</v>
      </c>
      <c r="U71" t="s">
        <v>633</v>
      </c>
    </row>
    <row r="72" spans="1:21" x14ac:dyDescent="0.3">
      <c r="A72">
        <v>71</v>
      </c>
      <c r="B72" t="s">
        <v>634</v>
      </c>
      <c r="C72" t="s">
        <v>29</v>
      </c>
      <c r="D72" t="s">
        <v>370</v>
      </c>
      <c r="E72" t="s">
        <v>635</v>
      </c>
      <c r="F72" s="1">
        <v>18</v>
      </c>
      <c r="G72" s="1">
        <v>6</v>
      </c>
      <c r="H72" s="1">
        <v>8</v>
      </c>
      <c r="I72" s="1">
        <v>12</v>
      </c>
      <c r="J72" s="1">
        <v>5</v>
      </c>
      <c r="K72" s="4">
        <f t="shared" si="9"/>
        <v>51</v>
      </c>
      <c r="L72" s="4">
        <f t="shared" si="10"/>
        <v>5.6818181818181817</v>
      </c>
      <c r="M72" s="4">
        <f t="shared" si="11"/>
        <v>388.59999999999997</v>
      </c>
      <c r="N72" s="4">
        <f t="shared" si="12"/>
        <v>322.82945000000001</v>
      </c>
      <c r="O72" s="4">
        <f t="shared" si="13"/>
        <v>304.10945000000004</v>
      </c>
      <c r="P72" s="1">
        <v>1.32</v>
      </c>
      <c r="Q72" t="s">
        <v>636</v>
      </c>
      <c r="R72" t="s">
        <v>631</v>
      </c>
      <c r="S72" t="s">
        <v>54</v>
      </c>
      <c r="T72" t="s">
        <v>637</v>
      </c>
      <c r="U72" t="s">
        <v>638</v>
      </c>
    </row>
    <row r="73" spans="1:21" x14ac:dyDescent="0.3">
      <c r="A73">
        <v>72</v>
      </c>
      <c r="B73" t="s">
        <v>537</v>
      </c>
      <c r="C73" t="s">
        <v>538</v>
      </c>
      <c r="D73" t="s">
        <v>35</v>
      </c>
      <c r="E73" t="s">
        <v>468</v>
      </c>
      <c r="F73" s="6">
        <v>40</v>
      </c>
      <c r="G73" s="6">
        <v>24.57</v>
      </c>
      <c r="H73" s="6">
        <v>12</v>
      </c>
      <c r="I73" s="6">
        <v>8.5</v>
      </c>
      <c r="J73" s="6">
        <v>12</v>
      </c>
      <c r="K73" s="4">
        <f t="shared" si="9"/>
        <v>2.9300000000000068</v>
      </c>
      <c r="L73" s="4">
        <f t="shared" si="10"/>
        <v>13.114754098360656</v>
      </c>
      <c r="M73" s="4">
        <f t="shared" si="11"/>
        <v>520.17100000000005</v>
      </c>
      <c r="N73" s="4">
        <f t="shared" si="12"/>
        <v>376.84257101639355</v>
      </c>
      <c r="O73" s="4">
        <f t="shared" si="13"/>
        <v>335.24257101639353</v>
      </c>
      <c r="P73" s="1">
        <v>3750</v>
      </c>
      <c r="Q73" t="s">
        <v>572</v>
      </c>
      <c r="R73" t="s">
        <v>573</v>
      </c>
      <c r="S73" t="s">
        <v>68</v>
      </c>
      <c r="T73" t="s">
        <v>574</v>
      </c>
      <c r="U73" t="s">
        <v>21</v>
      </c>
    </row>
    <row r="74" spans="1:21" x14ac:dyDescent="0.3">
      <c r="A74">
        <v>73</v>
      </c>
      <c r="B74" t="s">
        <v>575</v>
      </c>
      <c r="C74" t="s">
        <v>538</v>
      </c>
      <c r="D74" t="s">
        <v>35</v>
      </c>
      <c r="E74" t="s">
        <v>421</v>
      </c>
      <c r="F74" s="6">
        <v>40</v>
      </c>
      <c r="G74" s="6">
        <v>19.89</v>
      </c>
      <c r="H74" s="6">
        <v>19</v>
      </c>
      <c r="I74" s="6">
        <v>8</v>
      </c>
      <c r="J74" s="6">
        <v>12</v>
      </c>
      <c r="K74" s="4">
        <f t="shared" si="9"/>
        <v>1.1099999999999994</v>
      </c>
      <c r="L74" s="4">
        <f t="shared" si="10"/>
        <v>13.043478260869565</v>
      </c>
      <c r="M74" s="4">
        <f t="shared" si="11"/>
        <v>468.71699999999998</v>
      </c>
      <c r="N74" s="4">
        <f t="shared" si="12"/>
        <v>340.04399399999994</v>
      </c>
      <c r="O74" s="4">
        <f t="shared" si="13"/>
        <v>298.44399399999992</v>
      </c>
      <c r="P74" s="1">
        <v>4300</v>
      </c>
      <c r="Q74" t="s">
        <v>576</v>
      </c>
      <c r="R74" t="s">
        <v>577</v>
      </c>
      <c r="S74" t="s">
        <v>68</v>
      </c>
      <c r="T74" t="s">
        <v>443</v>
      </c>
      <c r="U74" t="s">
        <v>21</v>
      </c>
    </row>
    <row r="75" spans="1:21" x14ac:dyDescent="0.3">
      <c r="A75">
        <v>74</v>
      </c>
      <c r="B75" t="s">
        <v>537</v>
      </c>
      <c r="C75" t="s">
        <v>538</v>
      </c>
      <c r="D75" t="s">
        <v>35</v>
      </c>
      <c r="E75" t="s">
        <v>605</v>
      </c>
      <c r="F75" s="6">
        <v>40</v>
      </c>
      <c r="G75" s="6">
        <v>27</v>
      </c>
      <c r="H75" s="6">
        <v>11</v>
      </c>
      <c r="I75" s="6">
        <v>9</v>
      </c>
      <c r="J75" s="6">
        <v>12</v>
      </c>
      <c r="K75" s="4">
        <f t="shared" si="9"/>
        <v>1</v>
      </c>
      <c r="L75" s="4">
        <f t="shared" si="10"/>
        <v>13.186813186813186</v>
      </c>
      <c r="M75" s="4">
        <f t="shared" si="11"/>
        <v>535.1</v>
      </c>
      <c r="N75" s="4">
        <f t="shared" si="12"/>
        <v>387.10662857142864</v>
      </c>
      <c r="O75" s="4">
        <f t="shared" si="13"/>
        <v>345.50662857142862</v>
      </c>
      <c r="P75" s="1">
        <v>336</v>
      </c>
      <c r="Q75" t="s">
        <v>578</v>
      </c>
      <c r="R75" t="s">
        <v>579</v>
      </c>
      <c r="S75" t="s">
        <v>580</v>
      </c>
      <c r="T75" t="s">
        <v>581</v>
      </c>
      <c r="U75" t="s">
        <v>582</v>
      </c>
    </row>
    <row r="76" spans="1:21" x14ac:dyDescent="0.3">
      <c r="A76">
        <v>75</v>
      </c>
      <c r="B76" t="s">
        <v>537</v>
      </c>
      <c r="C76" t="s">
        <v>538</v>
      </c>
      <c r="D76" t="s">
        <v>35</v>
      </c>
      <c r="E76" t="s">
        <v>20</v>
      </c>
      <c r="F76" s="6">
        <v>32</v>
      </c>
      <c r="G76" s="6">
        <v>14</v>
      </c>
      <c r="H76" s="6">
        <v>15</v>
      </c>
      <c r="I76" s="6">
        <v>7.5</v>
      </c>
      <c r="J76" s="6">
        <v>8</v>
      </c>
      <c r="K76" s="4">
        <f t="shared" si="9"/>
        <v>23.5</v>
      </c>
      <c r="L76" s="4">
        <f t="shared" si="10"/>
        <v>8.6486486486486491</v>
      </c>
      <c r="M76" s="4">
        <f t="shared" si="11"/>
        <v>443.15</v>
      </c>
      <c r="N76" s="4">
        <f t="shared" si="12"/>
        <v>349.34592432432436</v>
      </c>
      <c r="O76" s="4">
        <f t="shared" si="13"/>
        <v>316.06592432432433</v>
      </c>
      <c r="P76" s="1">
        <v>380</v>
      </c>
      <c r="Q76" t="s">
        <v>583</v>
      </c>
      <c r="R76" t="s">
        <v>584</v>
      </c>
      <c r="S76" t="s">
        <v>24</v>
      </c>
      <c r="T76" t="s">
        <v>585</v>
      </c>
      <c r="U76" t="s">
        <v>586</v>
      </c>
    </row>
    <row r="77" spans="1:21" x14ac:dyDescent="0.3">
      <c r="A77">
        <v>76</v>
      </c>
      <c r="B77" t="s">
        <v>587</v>
      </c>
      <c r="C77" t="s">
        <v>538</v>
      </c>
      <c r="D77" t="s">
        <v>35</v>
      </c>
      <c r="E77" t="s">
        <v>484</v>
      </c>
      <c r="F77" s="6">
        <v>32</v>
      </c>
      <c r="G77" s="6">
        <v>13</v>
      </c>
      <c r="H77" s="6">
        <v>11</v>
      </c>
      <c r="I77" s="6">
        <v>8</v>
      </c>
      <c r="J77" s="6">
        <v>12</v>
      </c>
      <c r="K77" s="4">
        <f t="shared" si="9"/>
        <v>24</v>
      </c>
      <c r="L77" s="4">
        <f t="shared" si="10"/>
        <v>13.043478260869565</v>
      </c>
      <c r="M77" s="4">
        <f t="shared" si="11"/>
        <v>452.20000000000005</v>
      </c>
      <c r="N77" s="4">
        <f t="shared" si="12"/>
        <v>328.06126956521746</v>
      </c>
      <c r="O77" s="4">
        <f t="shared" si="13"/>
        <v>294.78126956521749</v>
      </c>
      <c r="P77" s="1">
        <v>3200</v>
      </c>
      <c r="Q77" t="s">
        <v>588</v>
      </c>
      <c r="R77" t="s">
        <v>589</v>
      </c>
      <c r="S77" t="s">
        <v>24</v>
      </c>
      <c r="T77" t="s">
        <v>590</v>
      </c>
      <c r="U77" t="s">
        <v>591</v>
      </c>
    </row>
    <row r="78" spans="1:21" x14ac:dyDescent="0.3">
      <c r="A78">
        <v>77</v>
      </c>
      <c r="B78" t="s">
        <v>592</v>
      </c>
      <c r="C78" t="s">
        <v>538</v>
      </c>
      <c r="D78" t="s">
        <v>35</v>
      </c>
      <c r="E78" t="s">
        <v>20</v>
      </c>
      <c r="F78" s="6">
        <v>30</v>
      </c>
      <c r="G78" s="6">
        <v>11</v>
      </c>
      <c r="H78" s="6">
        <v>9.5</v>
      </c>
      <c r="I78" s="6">
        <v>8</v>
      </c>
      <c r="J78" s="6">
        <v>12</v>
      </c>
      <c r="K78" s="4">
        <f t="shared" si="9"/>
        <v>29.5</v>
      </c>
      <c r="L78" s="4">
        <f t="shared" si="10"/>
        <v>13.043478260869565</v>
      </c>
      <c r="M78" s="4">
        <f t="shared" si="11"/>
        <v>444.54999999999995</v>
      </c>
      <c r="N78" s="4">
        <f t="shared" si="12"/>
        <v>322.51136086956518</v>
      </c>
      <c r="O78" s="4">
        <f t="shared" si="13"/>
        <v>291.31136086956519</v>
      </c>
      <c r="P78" s="1">
        <v>3100</v>
      </c>
      <c r="Q78" t="s">
        <v>593</v>
      </c>
      <c r="R78" t="s">
        <v>594</v>
      </c>
      <c r="S78" t="s">
        <v>595</v>
      </c>
      <c r="T78" t="s">
        <v>596</v>
      </c>
      <c r="U78" t="s">
        <v>597</v>
      </c>
    </row>
    <row r="79" spans="1:21" x14ac:dyDescent="0.3">
      <c r="A79">
        <v>78</v>
      </c>
      <c r="B79" t="s">
        <v>598</v>
      </c>
      <c r="C79" t="s">
        <v>538</v>
      </c>
      <c r="D79" t="s">
        <v>35</v>
      </c>
      <c r="E79" t="s">
        <v>20</v>
      </c>
      <c r="F79" s="6">
        <v>34</v>
      </c>
      <c r="G79" s="6">
        <v>13</v>
      </c>
      <c r="H79" s="6">
        <v>11</v>
      </c>
      <c r="I79" s="6">
        <v>8</v>
      </c>
      <c r="J79" s="6">
        <v>12</v>
      </c>
      <c r="K79" s="4">
        <f t="shared" si="9"/>
        <v>22</v>
      </c>
      <c r="L79" s="4">
        <f t="shared" si="10"/>
        <v>13.043478260869565</v>
      </c>
      <c r="M79" s="4">
        <f t="shared" si="11"/>
        <v>455.4</v>
      </c>
      <c r="N79" s="4">
        <f t="shared" si="12"/>
        <v>330.38279999999997</v>
      </c>
      <c r="O79" s="4">
        <f t="shared" si="13"/>
        <v>295.02279999999996</v>
      </c>
      <c r="P79" s="1">
        <v>3200</v>
      </c>
      <c r="Q79" t="s">
        <v>599</v>
      </c>
      <c r="R79" t="s">
        <v>600</v>
      </c>
      <c r="S79" t="s">
        <v>601</v>
      </c>
      <c r="T79" t="s">
        <v>602</v>
      </c>
      <c r="U79" t="s">
        <v>603</v>
      </c>
    </row>
    <row r="80" spans="1:21" x14ac:dyDescent="0.3">
      <c r="A80">
        <v>79</v>
      </c>
      <c r="B80" t="s">
        <v>32</v>
      </c>
      <c r="C80" t="s">
        <v>32</v>
      </c>
      <c r="D80" t="s">
        <v>35</v>
      </c>
      <c r="E80" t="s">
        <v>531</v>
      </c>
      <c r="F80" s="6">
        <v>27</v>
      </c>
      <c r="G80" s="6">
        <v>26.18</v>
      </c>
      <c r="H80" s="6">
        <v>13</v>
      </c>
      <c r="I80" s="6">
        <v>7</v>
      </c>
      <c r="J80" s="6">
        <v>8</v>
      </c>
      <c r="K80" s="4">
        <f t="shared" si="9"/>
        <v>18.819999999999993</v>
      </c>
      <c r="L80" s="4">
        <f t="shared" si="10"/>
        <v>8.6021505376344081</v>
      </c>
      <c r="M80" s="4">
        <f t="shared" si="11"/>
        <v>509.95399999999995</v>
      </c>
      <c r="N80" s="4">
        <f t="shared" si="12"/>
        <v>402.34822262365589</v>
      </c>
      <c r="O80" s="4">
        <f t="shared" si="13"/>
        <v>374.2682226236559</v>
      </c>
      <c r="P80" s="1">
        <v>363</v>
      </c>
      <c r="Q80" t="s">
        <v>501</v>
      </c>
      <c r="R80" t="s">
        <v>502</v>
      </c>
      <c r="S80" t="s">
        <v>503</v>
      </c>
      <c r="T80" t="s">
        <v>504</v>
      </c>
      <c r="U80" t="s">
        <v>21</v>
      </c>
    </row>
    <row r="81" spans="1:21" x14ac:dyDescent="0.3">
      <c r="A81">
        <v>80</v>
      </c>
      <c r="B81" t="s">
        <v>32</v>
      </c>
      <c r="C81" t="s">
        <v>40</v>
      </c>
      <c r="D81" t="s">
        <v>35</v>
      </c>
      <c r="E81" t="s">
        <v>505</v>
      </c>
      <c r="F81" s="6">
        <v>37</v>
      </c>
      <c r="G81" s="6">
        <v>34</v>
      </c>
      <c r="H81" s="6">
        <v>12</v>
      </c>
      <c r="I81" s="6">
        <v>7</v>
      </c>
      <c r="J81" s="6">
        <v>10</v>
      </c>
      <c r="K81" s="4">
        <f t="shared" si="9"/>
        <v>0</v>
      </c>
      <c r="L81" s="4">
        <f t="shared" si="10"/>
        <v>10.75268817204301</v>
      </c>
      <c r="M81" s="4">
        <f t="shared" si="11"/>
        <v>571.5</v>
      </c>
      <c r="N81" s="4">
        <f t="shared" si="12"/>
        <v>433.33219354838712</v>
      </c>
      <c r="O81" s="4">
        <f t="shared" si="13"/>
        <v>394.85219354838711</v>
      </c>
      <c r="P81" s="1">
        <v>362</v>
      </c>
      <c r="Q81" t="s">
        <v>506</v>
      </c>
      <c r="R81" t="s">
        <v>507</v>
      </c>
      <c r="S81" t="s">
        <v>31</v>
      </c>
      <c r="T81" t="s">
        <v>77</v>
      </c>
      <c r="U81" t="s">
        <v>60</v>
      </c>
    </row>
    <row r="82" spans="1:21" x14ac:dyDescent="0.3">
      <c r="A82">
        <v>81</v>
      </c>
      <c r="B82" t="s">
        <v>32</v>
      </c>
      <c r="C82" t="s">
        <v>40</v>
      </c>
      <c r="D82" t="s">
        <v>35</v>
      </c>
      <c r="E82" t="s">
        <v>532</v>
      </c>
      <c r="F82" s="6">
        <v>34</v>
      </c>
      <c r="G82" s="6">
        <v>40</v>
      </c>
      <c r="H82" s="6">
        <v>15</v>
      </c>
      <c r="I82" s="6">
        <v>7.5</v>
      </c>
      <c r="J82" s="6">
        <v>8</v>
      </c>
      <c r="K82" s="4">
        <f t="shared" si="9"/>
        <v>-4.5</v>
      </c>
      <c r="L82" s="4">
        <f t="shared" si="10"/>
        <v>8.6486486486486491</v>
      </c>
      <c r="M82" s="4">
        <f t="shared" si="11"/>
        <v>584.15</v>
      </c>
      <c r="N82" s="4">
        <f t="shared" si="12"/>
        <v>460.49965405405413</v>
      </c>
      <c r="O82" s="4">
        <f t="shared" si="13"/>
        <v>425.13965405405412</v>
      </c>
      <c r="P82" s="1">
        <v>384</v>
      </c>
      <c r="Q82" t="s">
        <v>508</v>
      </c>
      <c r="R82" t="s">
        <v>509</v>
      </c>
      <c r="S82" t="s">
        <v>31</v>
      </c>
      <c r="T82" t="s">
        <v>441</v>
      </c>
      <c r="U82" t="s">
        <v>510</v>
      </c>
    </row>
    <row r="83" spans="1:21" x14ac:dyDescent="0.3">
      <c r="A83">
        <v>82</v>
      </c>
      <c r="B83" t="s">
        <v>32</v>
      </c>
      <c r="C83" t="s">
        <v>32</v>
      </c>
      <c r="D83" t="s">
        <v>35</v>
      </c>
      <c r="E83" t="s">
        <v>533</v>
      </c>
      <c r="F83" s="6">
        <v>34</v>
      </c>
      <c r="G83" s="6">
        <v>38.6</v>
      </c>
      <c r="H83" s="6">
        <v>12</v>
      </c>
      <c r="I83" s="6">
        <v>7.4</v>
      </c>
      <c r="J83" s="6">
        <v>8</v>
      </c>
      <c r="K83" s="4">
        <f t="shared" si="9"/>
        <v>0</v>
      </c>
      <c r="L83" s="4">
        <f t="shared" si="10"/>
        <v>8.6393088552915778</v>
      </c>
      <c r="M83" s="4">
        <f t="shared" si="11"/>
        <v>589.44000000000005</v>
      </c>
      <c r="N83" s="4">
        <f t="shared" si="12"/>
        <v>464.74861477321821</v>
      </c>
      <c r="O83" s="4">
        <f t="shared" si="13"/>
        <v>429.38861477321819</v>
      </c>
      <c r="P83" s="1">
        <v>318</v>
      </c>
      <c r="Q83" t="s">
        <v>511</v>
      </c>
      <c r="R83" t="s">
        <v>512</v>
      </c>
      <c r="S83" t="s">
        <v>71</v>
      </c>
      <c r="T83" t="s">
        <v>513</v>
      </c>
      <c r="U83" t="s">
        <v>60</v>
      </c>
    </row>
    <row r="84" spans="1:21" x14ac:dyDescent="0.3">
      <c r="A84">
        <v>83</v>
      </c>
      <c r="B84" t="s">
        <v>32</v>
      </c>
      <c r="C84" t="s">
        <v>40</v>
      </c>
      <c r="D84" t="s">
        <v>35</v>
      </c>
      <c r="E84" t="s">
        <v>533</v>
      </c>
      <c r="F84" s="6">
        <v>34</v>
      </c>
      <c r="G84" s="6">
        <v>42.9</v>
      </c>
      <c r="H84" s="6">
        <v>12</v>
      </c>
      <c r="I84" s="6">
        <v>7.4</v>
      </c>
      <c r="J84" s="6">
        <v>8</v>
      </c>
      <c r="K84" s="4">
        <f t="shared" si="9"/>
        <v>-4.3000000000000114</v>
      </c>
      <c r="L84" s="4">
        <f t="shared" si="10"/>
        <v>8.6393088552915778</v>
      </c>
      <c r="M84" s="4">
        <f t="shared" si="11"/>
        <v>612.2299999999999</v>
      </c>
      <c r="N84" s="4">
        <f t="shared" si="12"/>
        <v>482.71756993520518</v>
      </c>
      <c r="O84" s="4">
        <f t="shared" si="13"/>
        <v>447.35756993520516</v>
      </c>
      <c r="P84" s="1">
        <v>318</v>
      </c>
      <c r="Q84" t="s">
        <v>514</v>
      </c>
      <c r="R84" t="s">
        <v>515</v>
      </c>
      <c r="S84" t="s">
        <v>516</v>
      </c>
      <c r="T84" t="s">
        <v>517</v>
      </c>
      <c r="U84" t="s">
        <v>21</v>
      </c>
    </row>
    <row r="85" spans="1:21" x14ac:dyDescent="0.3">
      <c r="A85">
        <v>84</v>
      </c>
      <c r="B85" t="s">
        <v>32</v>
      </c>
      <c r="C85" t="s">
        <v>40</v>
      </c>
      <c r="D85" t="s">
        <v>35</v>
      </c>
      <c r="E85" t="s">
        <v>534</v>
      </c>
      <c r="F85" s="6">
        <v>46</v>
      </c>
      <c r="G85" s="6">
        <v>47.9</v>
      </c>
      <c r="H85" s="6">
        <v>12</v>
      </c>
      <c r="I85" s="6">
        <v>7.9</v>
      </c>
      <c r="J85" s="6">
        <v>8</v>
      </c>
      <c r="K85" s="4">
        <f t="shared" si="9"/>
        <v>-21.800000000000011</v>
      </c>
      <c r="L85" s="4">
        <f t="shared" si="10"/>
        <v>8.686210640608035</v>
      </c>
      <c r="M85" s="4">
        <f t="shared" si="11"/>
        <v>655.88</v>
      </c>
      <c r="N85" s="4">
        <f t="shared" si="12"/>
        <v>516.69386076004344</v>
      </c>
      <c r="O85" s="4">
        <f t="shared" si="13"/>
        <v>468.8538607600434</v>
      </c>
      <c r="P85" s="1">
        <v>361</v>
      </c>
      <c r="Q85" t="s">
        <v>518</v>
      </c>
      <c r="R85" t="s">
        <v>519</v>
      </c>
      <c r="S85" t="s">
        <v>516</v>
      </c>
      <c r="T85" t="s">
        <v>517</v>
      </c>
      <c r="U85" t="s">
        <v>21</v>
      </c>
    </row>
    <row r="86" spans="1:21" x14ac:dyDescent="0.3">
      <c r="A86">
        <v>85</v>
      </c>
      <c r="B86" t="s">
        <v>32</v>
      </c>
      <c r="C86" t="s">
        <v>32</v>
      </c>
      <c r="D86" t="s">
        <v>35</v>
      </c>
      <c r="E86" t="s">
        <v>520</v>
      </c>
      <c r="F86" s="6">
        <v>35</v>
      </c>
      <c r="G86" s="6">
        <v>15</v>
      </c>
      <c r="H86" s="6">
        <v>17</v>
      </c>
      <c r="I86" s="6">
        <v>7.5</v>
      </c>
      <c r="J86" s="6">
        <v>7.8</v>
      </c>
      <c r="K86" s="4">
        <f t="shared" si="9"/>
        <v>17.700000000000003</v>
      </c>
      <c r="L86" s="4">
        <f t="shared" si="10"/>
        <v>8.4324324324324316</v>
      </c>
      <c r="M86" s="4">
        <f t="shared" si="11"/>
        <v>445.05</v>
      </c>
      <c r="N86" s="4">
        <f t="shared" si="12"/>
        <v>352.21978702702705</v>
      </c>
      <c r="O86" s="4">
        <f t="shared" si="13"/>
        <v>315.81978702702708</v>
      </c>
      <c r="P86" s="1">
        <v>388</v>
      </c>
      <c r="Q86" t="s">
        <v>521</v>
      </c>
      <c r="R86" t="s">
        <v>522</v>
      </c>
      <c r="S86" t="s">
        <v>55</v>
      </c>
      <c r="T86" t="s">
        <v>523</v>
      </c>
      <c r="U86" t="s">
        <v>524</v>
      </c>
    </row>
    <row r="87" spans="1:21" x14ac:dyDescent="0.3">
      <c r="A87">
        <v>86</v>
      </c>
      <c r="B87" t="s">
        <v>32</v>
      </c>
      <c r="C87" t="s">
        <v>40</v>
      </c>
      <c r="D87" t="s">
        <v>35</v>
      </c>
      <c r="E87" t="s">
        <v>20</v>
      </c>
      <c r="F87" s="6">
        <v>32</v>
      </c>
      <c r="G87" s="6">
        <v>15</v>
      </c>
      <c r="H87" s="6">
        <v>15</v>
      </c>
      <c r="I87" s="6">
        <v>7.5</v>
      </c>
      <c r="J87" s="6">
        <v>8</v>
      </c>
      <c r="K87" s="4">
        <f t="shared" si="9"/>
        <v>22.5</v>
      </c>
      <c r="L87" s="4">
        <f t="shared" si="10"/>
        <v>8.6486486486486491</v>
      </c>
      <c r="M87" s="4">
        <f t="shared" si="11"/>
        <v>448.44999999999993</v>
      </c>
      <c r="N87" s="4">
        <f t="shared" si="12"/>
        <v>353.52404324324323</v>
      </c>
      <c r="O87" s="4">
        <f t="shared" si="13"/>
        <v>320.24404324324325</v>
      </c>
      <c r="P87" s="1">
        <v>372</v>
      </c>
      <c r="Q87" t="s">
        <v>525</v>
      </c>
      <c r="R87" t="s">
        <v>526</v>
      </c>
      <c r="S87" t="s">
        <v>499</v>
      </c>
      <c r="T87" t="s">
        <v>527</v>
      </c>
      <c r="U87" t="s">
        <v>60</v>
      </c>
    </row>
    <row r="88" spans="1:21" x14ac:dyDescent="0.3">
      <c r="A88">
        <v>87</v>
      </c>
      <c r="B88" t="s">
        <v>32</v>
      </c>
      <c r="C88" t="s">
        <v>32</v>
      </c>
      <c r="D88" t="s">
        <v>35</v>
      </c>
      <c r="E88" t="s">
        <v>535</v>
      </c>
      <c r="F88" s="6">
        <v>34</v>
      </c>
      <c r="G88" s="6">
        <v>12</v>
      </c>
      <c r="H88" s="6">
        <v>15</v>
      </c>
      <c r="I88" s="6">
        <v>6.9</v>
      </c>
      <c r="J88" s="6">
        <v>5.5</v>
      </c>
      <c r="K88" s="4">
        <f t="shared" si="9"/>
        <v>26.599999999999994</v>
      </c>
      <c r="L88" s="4">
        <f t="shared" si="10"/>
        <v>5.9076262083780886</v>
      </c>
      <c r="M88" s="4">
        <f t="shared" si="11"/>
        <v>438.21</v>
      </c>
      <c r="N88" s="4">
        <f t="shared" si="12"/>
        <v>362.62795340494091</v>
      </c>
      <c r="O88" s="4">
        <f t="shared" si="13"/>
        <v>327.2679534049409</v>
      </c>
      <c r="P88" s="1">
        <v>3564</v>
      </c>
      <c r="Q88" t="s">
        <v>528</v>
      </c>
      <c r="R88" t="s">
        <v>529</v>
      </c>
      <c r="S88" t="s">
        <v>31</v>
      </c>
      <c r="T88" t="s">
        <v>530</v>
      </c>
      <c r="U88" t="s">
        <v>21</v>
      </c>
    </row>
    <row r="89" spans="1:21" x14ac:dyDescent="0.3">
      <c r="A89">
        <v>88</v>
      </c>
      <c r="B89" t="s">
        <v>493</v>
      </c>
      <c r="C89" t="s">
        <v>483</v>
      </c>
      <c r="D89" t="s">
        <v>35</v>
      </c>
      <c r="E89" t="s">
        <v>20</v>
      </c>
      <c r="F89" s="6">
        <v>42</v>
      </c>
      <c r="G89" s="6">
        <v>7</v>
      </c>
      <c r="H89" s="6">
        <v>18</v>
      </c>
      <c r="I89" s="6">
        <v>8.3000000000000007</v>
      </c>
      <c r="J89" s="6">
        <v>10</v>
      </c>
      <c r="K89" s="4">
        <f t="shared" si="9"/>
        <v>14.700000000000003</v>
      </c>
      <c r="L89" s="4">
        <f t="shared" si="10"/>
        <v>10.905125408942203</v>
      </c>
      <c r="M89" s="4">
        <f t="shared" si="11"/>
        <v>406.46999999999997</v>
      </c>
      <c r="N89" s="4">
        <f t="shared" si="12"/>
        <v>307.3143695528899</v>
      </c>
      <c r="O89" s="4">
        <f t="shared" si="13"/>
        <v>263.63436955288989</v>
      </c>
      <c r="P89" s="1">
        <v>4488</v>
      </c>
      <c r="Q89" t="s">
        <v>494</v>
      </c>
      <c r="R89" t="s">
        <v>495</v>
      </c>
      <c r="S89" t="s">
        <v>55</v>
      </c>
      <c r="T89" t="s">
        <v>496</v>
      </c>
      <c r="U89" t="s">
        <v>57</v>
      </c>
    </row>
    <row r="90" spans="1:21" x14ac:dyDescent="0.3">
      <c r="A90">
        <v>89</v>
      </c>
      <c r="B90" t="s">
        <v>481</v>
      </c>
      <c r="C90" t="s">
        <v>446</v>
      </c>
      <c r="D90" t="s">
        <v>35</v>
      </c>
      <c r="E90" t="s">
        <v>468</v>
      </c>
      <c r="F90" s="6">
        <v>32</v>
      </c>
      <c r="G90" s="6">
        <v>10.45</v>
      </c>
      <c r="H90" s="6">
        <v>10</v>
      </c>
      <c r="I90" s="6">
        <v>8</v>
      </c>
      <c r="J90" s="6">
        <v>10</v>
      </c>
      <c r="K90" s="4">
        <f t="shared" si="9"/>
        <v>29.549999999999997</v>
      </c>
      <c r="L90" s="4">
        <f t="shared" si="10"/>
        <v>10.869565217391305</v>
      </c>
      <c r="M90" s="4">
        <f t="shared" si="11"/>
        <v>442.78499999999997</v>
      </c>
      <c r="N90" s="4">
        <f t="shared" si="12"/>
        <v>334.99572978260869</v>
      </c>
      <c r="O90" s="4">
        <f t="shared" si="13"/>
        <v>301.71572978260872</v>
      </c>
      <c r="P90" s="1">
        <v>333</v>
      </c>
      <c r="Q90" t="s">
        <v>469</v>
      </c>
      <c r="R90" t="s">
        <v>470</v>
      </c>
      <c r="S90" t="s">
        <v>21</v>
      </c>
      <c r="T90" t="s">
        <v>471</v>
      </c>
      <c r="U90" t="s">
        <v>472</v>
      </c>
    </row>
    <row r="91" spans="1:21" x14ac:dyDescent="0.3">
      <c r="A91">
        <v>90</v>
      </c>
      <c r="B91" t="s">
        <v>473</v>
      </c>
      <c r="C91" t="s">
        <v>446</v>
      </c>
      <c r="D91" t="s">
        <v>35</v>
      </c>
      <c r="E91" t="s">
        <v>20</v>
      </c>
      <c r="F91" s="6">
        <v>31.5</v>
      </c>
      <c r="G91" s="6">
        <v>11</v>
      </c>
      <c r="H91" s="6">
        <v>12</v>
      </c>
      <c r="I91" s="6">
        <v>6.5</v>
      </c>
      <c r="J91" s="6">
        <v>10</v>
      </c>
      <c r="K91" s="4">
        <f t="shared" si="9"/>
        <v>29</v>
      </c>
      <c r="L91" s="4">
        <f t="shared" si="10"/>
        <v>10.695187165775401</v>
      </c>
      <c r="M91" s="4">
        <f t="shared" si="11"/>
        <v>442.85</v>
      </c>
      <c r="N91" s="4">
        <f t="shared" si="12"/>
        <v>336.14920000000001</v>
      </c>
      <c r="O91" s="4">
        <f t="shared" si="13"/>
        <v>303.38920000000002</v>
      </c>
      <c r="P91" s="1">
        <v>3400</v>
      </c>
      <c r="Q91" t="s">
        <v>474</v>
      </c>
      <c r="R91" t="s">
        <v>475</v>
      </c>
      <c r="S91" t="s">
        <v>53</v>
      </c>
      <c r="T91" t="s">
        <v>476</v>
      </c>
      <c r="U91" t="s">
        <v>21</v>
      </c>
    </row>
    <row r="92" spans="1:21" x14ac:dyDescent="0.3">
      <c r="A92">
        <v>91</v>
      </c>
      <c r="B92" t="s">
        <v>477</v>
      </c>
      <c r="C92" t="s">
        <v>446</v>
      </c>
      <c r="D92" t="s">
        <v>35</v>
      </c>
      <c r="E92" t="s">
        <v>20</v>
      </c>
      <c r="F92" s="6">
        <v>28</v>
      </c>
      <c r="G92" s="6">
        <v>36</v>
      </c>
      <c r="H92" s="6">
        <v>8</v>
      </c>
      <c r="I92" s="6">
        <v>8.5</v>
      </c>
      <c r="J92" s="6">
        <v>10</v>
      </c>
      <c r="K92" s="4">
        <f t="shared" si="9"/>
        <v>9.5</v>
      </c>
      <c r="L92" s="4">
        <f t="shared" si="10"/>
        <v>10.928961748633879</v>
      </c>
      <c r="M92" s="4">
        <f t="shared" si="11"/>
        <v>577.95000000000005</v>
      </c>
      <c r="N92" s="4">
        <f t="shared" si="12"/>
        <v>436.76597377049183</v>
      </c>
      <c r="O92" s="4">
        <f t="shared" si="13"/>
        <v>407.64597377049182</v>
      </c>
      <c r="P92" s="1">
        <v>3662</v>
      </c>
      <c r="Q92" t="s">
        <v>478</v>
      </c>
      <c r="R92" t="s">
        <v>479</v>
      </c>
      <c r="S92" t="s">
        <v>24</v>
      </c>
      <c r="T92" t="s">
        <v>480</v>
      </c>
      <c r="U92" t="s">
        <v>61</v>
      </c>
    </row>
    <row r="93" spans="1:21" x14ac:dyDescent="0.3">
      <c r="A93">
        <v>92</v>
      </c>
      <c r="B93" t="s">
        <v>392</v>
      </c>
      <c r="C93" t="s">
        <v>369</v>
      </c>
      <c r="D93" t="s">
        <v>35</v>
      </c>
      <c r="E93" t="s">
        <v>22</v>
      </c>
      <c r="F93" s="6">
        <v>32</v>
      </c>
      <c r="G93" s="6">
        <v>8.5</v>
      </c>
      <c r="H93" s="6">
        <v>12</v>
      </c>
      <c r="I93" s="6">
        <v>8</v>
      </c>
      <c r="J93" s="6">
        <v>12</v>
      </c>
      <c r="K93" s="4">
        <f t="shared" si="9"/>
        <v>27.5</v>
      </c>
      <c r="L93" s="4">
        <f t="shared" si="10"/>
        <v>13.043478260869565</v>
      </c>
      <c r="M93" s="4">
        <f t="shared" si="11"/>
        <v>424.25</v>
      </c>
      <c r="N93" s="4">
        <f t="shared" si="12"/>
        <v>307.78415217391301</v>
      </c>
      <c r="O93" s="4">
        <f t="shared" si="13"/>
        <v>274.50415217391298</v>
      </c>
      <c r="P93">
        <v>345</v>
      </c>
      <c r="Q93" t="s">
        <v>417</v>
      </c>
      <c r="R93" t="s">
        <v>418</v>
      </c>
      <c r="S93" t="s">
        <v>21</v>
      </c>
      <c r="T93" t="s">
        <v>419</v>
      </c>
      <c r="U93" t="s">
        <v>420</v>
      </c>
    </row>
    <row r="94" spans="1:21" x14ac:dyDescent="0.3">
      <c r="A94">
        <v>93</v>
      </c>
      <c r="B94" t="s">
        <v>392</v>
      </c>
      <c r="C94" t="s">
        <v>369</v>
      </c>
      <c r="D94" t="s">
        <v>35</v>
      </c>
      <c r="E94" t="s">
        <v>421</v>
      </c>
      <c r="F94" s="6">
        <v>32</v>
      </c>
      <c r="G94" s="6">
        <v>28.71</v>
      </c>
      <c r="H94" s="6">
        <v>12</v>
      </c>
      <c r="I94" s="6">
        <v>8</v>
      </c>
      <c r="J94" s="6">
        <v>12</v>
      </c>
      <c r="K94" s="4">
        <f t="shared" si="9"/>
        <v>7.289999999999992</v>
      </c>
      <c r="L94" s="4">
        <f t="shared" si="10"/>
        <v>13.043478260869565</v>
      </c>
      <c r="M94" s="4">
        <f t="shared" si="11"/>
        <v>531.36299999999994</v>
      </c>
      <c r="N94" s="4">
        <f t="shared" si="12"/>
        <v>385.49230513043477</v>
      </c>
      <c r="O94" s="4">
        <f t="shared" si="13"/>
        <v>352.21230513043474</v>
      </c>
      <c r="P94">
        <v>345</v>
      </c>
      <c r="Q94" t="s">
        <v>422</v>
      </c>
      <c r="R94" t="s">
        <v>423</v>
      </c>
      <c r="S94" t="s">
        <v>48</v>
      </c>
      <c r="T94" t="s">
        <v>424</v>
      </c>
      <c r="U94" t="s">
        <v>425</v>
      </c>
    </row>
    <row r="95" spans="1:21" x14ac:dyDescent="0.3">
      <c r="A95">
        <v>94</v>
      </c>
      <c r="B95" t="s">
        <v>426</v>
      </c>
      <c r="C95" t="s">
        <v>369</v>
      </c>
      <c r="D95" t="s">
        <v>35</v>
      </c>
      <c r="E95" t="s">
        <v>22</v>
      </c>
      <c r="F95" s="6">
        <v>29</v>
      </c>
      <c r="G95" s="6">
        <v>5.5</v>
      </c>
      <c r="H95" s="6">
        <v>12</v>
      </c>
      <c r="I95" s="6">
        <v>10</v>
      </c>
      <c r="J95" s="6">
        <v>12</v>
      </c>
      <c r="K95" s="4">
        <f t="shared" si="9"/>
        <v>31.5</v>
      </c>
      <c r="L95" s="4">
        <f t="shared" si="10"/>
        <v>13.333333333333334</v>
      </c>
      <c r="M95" s="4">
        <f t="shared" si="11"/>
        <v>395.35</v>
      </c>
      <c r="N95" s="4">
        <f t="shared" si="12"/>
        <v>285.17913333333337</v>
      </c>
      <c r="O95" s="4">
        <f t="shared" si="13"/>
        <v>255.01913333333337</v>
      </c>
      <c r="P95">
        <v>327</v>
      </c>
      <c r="Q95" t="s">
        <v>427</v>
      </c>
      <c r="R95" t="s">
        <v>428</v>
      </c>
      <c r="S95" t="s">
        <v>33</v>
      </c>
      <c r="T95" t="s">
        <v>429</v>
      </c>
      <c r="U95" t="s">
        <v>430</v>
      </c>
    </row>
    <row r="96" spans="1:21" x14ac:dyDescent="0.3">
      <c r="A96">
        <v>95</v>
      </c>
      <c r="B96" t="s">
        <v>431</v>
      </c>
      <c r="C96" t="s">
        <v>369</v>
      </c>
      <c r="D96" t="s">
        <v>35</v>
      </c>
      <c r="E96" t="s">
        <v>432</v>
      </c>
      <c r="F96" s="6">
        <v>32</v>
      </c>
      <c r="G96" s="6">
        <v>3.61</v>
      </c>
      <c r="H96" s="6">
        <v>12</v>
      </c>
      <c r="I96" s="6">
        <v>8</v>
      </c>
      <c r="J96" s="6">
        <v>12</v>
      </c>
      <c r="K96" s="4">
        <f t="shared" si="9"/>
        <v>32.39</v>
      </c>
      <c r="L96" s="4">
        <f t="shared" si="10"/>
        <v>13.043478260869565</v>
      </c>
      <c r="M96" s="4">
        <f t="shared" si="11"/>
        <v>398.33299999999997</v>
      </c>
      <c r="N96" s="4">
        <f t="shared" si="12"/>
        <v>288.98193208695648</v>
      </c>
      <c r="O96" s="4">
        <f t="shared" si="13"/>
        <v>255.70193208695648</v>
      </c>
      <c r="P96">
        <v>345</v>
      </c>
      <c r="Q96" t="s">
        <v>433</v>
      </c>
      <c r="R96" t="s">
        <v>434</v>
      </c>
      <c r="S96" t="s">
        <v>21</v>
      </c>
      <c r="T96" t="s">
        <v>435</v>
      </c>
      <c r="U96" t="s">
        <v>436</v>
      </c>
    </row>
    <row r="97" spans="1:21" x14ac:dyDescent="0.3">
      <c r="A97">
        <v>96</v>
      </c>
      <c r="B97" t="s">
        <v>437</v>
      </c>
      <c r="C97" t="s">
        <v>369</v>
      </c>
      <c r="D97" t="s">
        <v>35</v>
      </c>
      <c r="E97" t="s">
        <v>438</v>
      </c>
      <c r="F97" s="6">
        <v>32</v>
      </c>
      <c r="G97" s="6">
        <v>5.15</v>
      </c>
      <c r="H97" s="6">
        <v>8</v>
      </c>
      <c r="I97" s="6">
        <v>8</v>
      </c>
      <c r="J97" s="6">
        <v>12</v>
      </c>
      <c r="K97" s="4">
        <f t="shared" si="9"/>
        <v>34.849999999999994</v>
      </c>
      <c r="L97" s="4">
        <f t="shared" si="10"/>
        <v>13.043478260869565</v>
      </c>
      <c r="M97" s="4">
        <f t="shared" si="11"/>
        <v>422.89499999999998</v>
      </c>
      <c r="N97" s="4">
        <f t="shared" si="12"/>
        <v>306.80112913043473</v>
      </c>
      <c r="O97" s="4">
        <f t="shared" si="13"/>
        <v>273.5211291304347</v>
      </c>
      <c r="P97">
        <v>317</v>
      </c>
      <c r="Q97" t="s">
        <v>439</v>
      </c>
      <c r="R97" t="s">
        <v>434</v>
      </c>
      <c r="S97" t="s">
        <v>21</v>
      </c>
      <c r="T97" t="s">
        <v>435</v>
      </c>
      <c r="U97" t="s">
        <v>440</v>
      </c>
    </row>
    <row r="98" spans="1:21" ht="45.2" x14ac:dyDescent="0.3">
      <c r="A98">
        <v>97</v>
      </c>
      <c r="B98" t="s">
        <v>146</v>
      </c>
      <c r="C98" t="s">
        <v>29</v>
      </c>
      <c r="D98" t="s">
        <v>35</v>
      </c>
      <c r="E98" s="3" t="s">
        <v>147</v>
      </c>
      <c r="F98" s="6">
        <v>24</v>
      </c>
      <c r="G98" s="6">
        <v>8</v>
      </c>
      <c r="H98" s="6">
        <v>9</v>
      </c>
      <c r="I98" s="6">
        <v>10</v>
      </c>
      <c r="J98" s="6">
        <v>5</v>
      </c>
      <c r="K98" s="4">
        <f t="shared" si="9"/>
        <v>44</v>
      </c>
      <c r="L98" s="4">
        <f t="shared" si="10"/>
        <v>5.5555555555555554</v>
      </c>
      <c r="M98" s="4">
        <f t="shared" si="11"/>
        <v>412.9</v>
      </c>
      <c r="N98" s="4">
        <f t="shared" si="12"/>
        <v>343.76218888888894</v>
      </c>
      <c r="O98" s="4">
        <f t="shared" si="13"/>
        <v>318.80218888888896</v>
      </c>
      <c r="P98" s="4">
        <v>0</v>
      </c>
      <c r="Q98" s="5" t="s">
        <v>148</v>
      </c>
      <c r="R98" s="5" t="s">
        <v>149</v>
      </c>
      <c r="S98" s="5" t="s">
        <v>54</v>
      </c>
      <c r="T98" s="5" t="s">
        <v>150</v>
      </c>
      <c r="U98" s="5" t="s">
        <v>151</v>
      </c>
    </row>
    <row r="99" spans="1:21" ht="60.25" x14ac:dyDescent="0.3">
      <c r="A99">
        <v>98</v>
      </c>
      <c r="B99" t="s">
        <v>152</v>
      </c>
      <c r="C99" t="s">
        <v>153</v>
      </c>
      <c r="D99" t="s">
        <v>35</v>
      </c>
      <c r="E99" s="3" t="s">
        <v>20</v>
      </c>
      <c r="F99" s="6">
        <v>30</v>
      </c>
      <c r="G99" s="6">
        <v>10</v>
      </c>
      <c r="H99" s="6">
        <v>8.3000000000000007</v>
      </c>
      <c r="I99" s="6">
        <v>12</v>
      </c>
      <c r="J99" s="6">
        <v>4</v>
      </c>
      <c r="K99" s="4">
        <f t="shared" si="9"/>
        <v>35.700000000000003</v>
      </c>
      <c r="L99" s="4">
        <f t="shared" si="10"/>
        <v>4.5454545454545459</v>
      </c>
      <c r="M99" s="4">
        <f t="shared" si="11"/>
        <v>427.77</v>
      </c>
      <c r="N99" s="4">
        <f t="shared" si="12"/>
        <v>362.32119</v>
      </c>
      <c r="O99" s="4">
        <f t="shared" si="13"/>
        <v>331.12119000000001</v>
      </c>
      <c r="P99" s="4">
        <v>0</v>
      </c>
      <c r="Q99" s="5" t="s">
        <v>154</v>
      </c>
      <c r="R99" s="5" t="s">
        <v>155</v>
      </c>
      <c r="S99" s="5" t="s">
        <v>156</v>
      </c>
      <c r="T99" s="5" t="s">
        <v>157</v>
      </c>
      <c r="U99" s="5" t="s">
        <v>158</v>
      </c>
    </row>
    <row r="100" spans="1:21" ht="60.25" x14ac:dyDescent="0.3">
      <c r="A100">
        <v>99</v>
      </c>
      <c r="B100" t="s">
        <v>152</v>
      </c>
      <c r="C100" t="s">
        <v>153</v>
      </c>
      <c r="D100" t="s">
        <v>35</v>
      </c>
      <c r="E100" s="3" t="s">
        <v>20</v>
      </c>
      <c r="F100" s="6">
        <v>30</v>
      </c>
      <c r="G100" s="6">
        <v>9</v>
      </c>
      <c r="H100" s="6">
        <v>8.5</v>
      </c>
      <c r="I100" s="6">
        <v>12</v>
      </c>
      <c r="J100" s="6">
        <v>4</v>
      </c>
      <c r="K100" s="4">
        <f t="shared" si="9"/>
        <v>36.5</v>
      </c>
      <c r="L100" s="4">
        <f t="shared" si="10"/>
        <v>4.5454545454545459</v>
      </c>
      <c r="M100" s="4">
        <f t="shared" si="11"/>
        <v>421.65</v>
      </c>
      <c r="N100" s="4">
        <f t="shared" si="12"/>
        <v>357.13754999999998</v>
      </c>
      <c r="O100" s="4">
        <f t="shared" si="13"/>
        <v>325.93754999999999</v>
      </c>
      <c r="P100" s="4">
        <v>0</v>
      </c>
      <c r="Q100" s="5" t="s">
        <v>159</v>
      </c>
      <c r="R100" s="5" t="s">
        <v>155</v>
      </c>
      <c r="S100" s="5" t="s">
        <v>156</v>
      </c>
      <c r="T100" s="5" t="s">
        <v>160</v>
      </c>
      <c r="U100" s="5" t="s">
        <v>161</v>
      </c>
    </row>
    <row r="101" spans="1:21" ht="45.2" x14ac:dyDescent="0.3">
      <c r="A101">
        <v>100</v>
      </c>
      <c r="B101" t="s">
        <v>162</v>
      </c>
      <c r="C101" t="s">
        <v>163</v>
      </c>
      <c r="D101" t="s">
        <v>35</v>
      </c>
      <c r="E101" s="3" t="s">
        <v>45</v>
      </c>
      <c r="F101" s="6">
        <v>24</v>
      </c>
      <c r="G101" s="6">
        <v>8</v>
      </c>
      <c r="H101" s="6">
        <v>10</v>
      </c>
      <c r="I101" s="6">
        <v>12</v>
      </c>
      <c r="J101" s="6">
        <v>4</v>
      </c>
      <c r="K101" s="4">
        <f t="shared" si="9"/>
        <v>42</v>
      </c>
      <c r="L101" s="4">
        <f t="shared" si="10"/>
        <v>4.5454545454545459</v>
      </c>
      <c r="M101" s="4">
        <f t="shared" si="11"/>
        <v>400.6</v>
      </c>
      <c r="N101" s="4">
        <f t="shared" si="12"/>
        <v>339.3082</v>
      </c>
      <c r="O101" s="4">
        <f t="shared" si="13"/>
        <v>314.34820000000002</v>
      </c>
      <c r="P101" s="4">
        <v>0</v>
      </c>
      <c r="Q101" s="5" t="s">
        <v>164</v>
      </c>
      <c r="R101" s="5" t="s">
        <v>165</v>
      </c>
      <c r="S101" s="5" t="s">
        <v>166</v>
      </c>
      <c r="T101" s="5" t="s">
        <v>167</v>
      </c>
      <c r="U101" s="5" t="s">
        <v>168</v>
      </c>
    </row>
    <row r="102" spans="1:21" ht="45.2" x14ac:dyDescent="0.3">
      <c r="A102">
        <v>101</v>
      </c>
      <c r="B102" t="s">
        <v>169</v>
      </c>
      <c r="C102" t="s">
        <v>369</v>
      </c>
      <c r="D102" t="s">
        <v>35</v>
      </c>
      <c r="E102" s="3" t="s">
        <v>45</v>
      </c>
      <c r="F102" s="6">
        <v>24</v>
      </c>
      <c r="G102" s="6">
        <v>8</v>
      </c>
      <c r="H102" s="6">
        <v>9</v>
      </c>
      <c r="I102" s="6">
        <v>10</v>
      </c>
      <c r="J102" s="6">
        <v>4</v>
      </c>
      <c r="K102" s="4">
        <f t="shared" si="9"/>
        <v>45</v>
      </c>
      <c r="L102" s="4">
        <f t="shared" si="10"/>
        <v>4.4444444444444446</v>
      </c>
      <c r="M102" s="4">
        <f t="shared" si="11"/>
        <v>412.9</v>
      </c>
      <c r="N102" s="4">
        <f t="shared" si="12"/>
        <v>350.32271111111112</v>
      </c>
      <c r="O102" s="4">
        <f t="shared" si="13"/>
        <v>325.36271111111114</v>
      </c>
      <c r="P102" s="4">
        <v>0</v>
      </c>
      <c r="Q102" s="5" t="s">
        <v>170</v>
      </c>
      <c r="R102" s="5" t="s">
        <v>171</v>
      </c>
      <c r="S102" s="5" t="s">
        <v>21</v>
      </c>
      <c r="T102" s="5" t="s">
        <v>172</v>
      </c>
      <c r="U102" s="5" t="s">
        <v>173</v>
      </c>
    </row>
    <row r="103" spans="1:21" ht="90.35" x14ac:dyDescent="0.3">
      <c r="A103">
        <v>102</v>
      </c>
      <c r="B103" t="s">
        <v>36</v>
      </c>
      <c r="C103" t="s">
        <v>37</v>
      </c>
      <c r="D103" t="s">
        <v>35</v>
      </c>
      <c r="E103" s="3" t="s">
        <v>20</v>
      </c>
      <c r="F103" s="6">
        <v>36</v>
      </c>
      <c r="G103" s="6">
        <v>13</v>
      </c>
      <c r="H103" s="6">
        <v>9.5</v>
      </c>
      <c r="I103" s="6">
        <v>12</v>
      </c>
      <c r="J103" s="6">
        <v>5</v>
      </c>
      <c r="K103" s="4">
        <f t="shared" si="9"/>
        <v>24.5</v>
      </c>
      <c r="L103" s="4">
        <f t="shared" si="10"/>
        <v>5.6818181818181817</v>
      </c>
      <c r="M103" s="4">
        <f t="shared" si="11"/>
        <v>448.35</v>
      </c>
      <c r="N103" s="4">
        <f t="shared" si="12"/>
        <v>372.46676250000002</v>
      </c>
      <c r="O103" s="4">
        <f t="shared" si="13"/>
        <v>335.02676250000002</v>
      </c>
      <c r="P103" s="4">
        <v>0</v>
      </c>
      <c r="Q103" s="5" t="s">
        <v>174</v>
      </c>
      <c r="R103" s="5" t="s">
        <v>175</v>
      </c>
      <c r="S103" s="5" t="s">
        <v>121</v>
      </c>
      <c r="T103" s="5" t="s">
        <v>176</v>
      </c>
      <c r="U103" s="5" t="s">
        <v>177</v>
      </c>
    </row>
    <row r="104" spans="1:21" ht="45.2" x14ac:dyDescent="0.3">
      <c r="A104">
        <v>103</v>
      </c>
      <c r="B104" t="s">
        <v>228</v>
      </c>
      <c r="C104" t="s">
        <v>34</v>
      </c>
      <c r="D104" t="s">
        <v>35</v>
      </c>
      <c r="E104" s="3" t="s">
        <v>229</v>
      </c>
      <c r="F104" s="6">
        <v>30</v>
      </c>
      <c r="G104" s="6">
        <v>12</v>
      </c>
      <c r="H104" s="6">
        <v>7</v>
      </c>
      <c r="I104" s="6">
        <v>10</v>
      </c>
      <c r="J104" s="6">
        <v>3</v>
      </c>
      <c r="K104" s="4">
        <f t="shared" si="9"/>
        <v>38</v>
      </c>
      <c r="L104" s="4">
        <f t="shared" si="10"/>
        <v>3.3333333333333335</v>
      </c>
      <c r="M104" s="4">
        <f t="shared" si="11"/>
        <v>451.9</v>
      </c>
      <c r="N104" s="4">
        <f t="shared" si="12"/>
        <v>390.59223333333335</v>
      </c>
      <c r="O104" s="4">
        <f t="shared" si="13"/>
        <v>359.39223333333337</v>
      </c>
      <c r="P104" s="4">
        <v>0</v>
      </c>
      <c r="Q104" s="5" t="s">
        <v>230</v>
      </c>
      <c r="R104" s="5" t="s">
        <v>231</v>
      </c>
      <c r="S104" s="5" t="s">
        <v>48</v>
      </c>
      <c r="T104" s="5" t="s">
        <v>232</v>
      </c>
      <c r="U104" s="5" t="s">
        <v>21</v>
      </c>
    </row>
    <row r="105" spans="1:21" ht="45.2" x14ac:dyDescent="0.3">
      <c r="A105">
        <v>104</v>
      </c>
      <c r="B105" t="s">
        <v>41</v>
      </c>
      <c r="C105" t="s">
        <v>40</v>
      </c>
      <c r="D105" t="s">
        <v>35</v>
      </c>
      <c r="E105" s="3" t="s">
        <v>233</v>
      </c>
      <c r="F105" s="6">
        <v>32</v>
      </c>
      <c r="G105" s="6">
        <v>15</v>
      </c>
      <c r="H105" s="6">
        <v>7.2</v>
      </c>
      <c r="I105" s="6">
        <v>7.5</v>
      </c>
      <c r="J105" s="6">
        <v>4.5999999999999996</v>
      </c>
      <c r="K105" s="4">
        <f t="shared" si="9"/>
        <v>33.700000000000003</v>
      </c>
      <c r="L105" s="4">
        <f t="shared" si="10"/>
        <v>4.9729729729729719</v>
      </c>
      <c r="M105" s="4">
        <f t="shared" si="11"/>
        <v>480.42999999999995</v>
      </c>
      <c r="N105" s="4">
        <f t="shared" si="12"/>
        <v>403.98709470270268</v>
      </c>
      <c r="O105" s="4">
        <f t="shared" si="13"/>
        <v>370.70709470270265</v>
      </c>
      <c r="P105" s="4">
        <v>0</v>
      </c>
      <c r="Q105" s="5" t="s">
        <v>234</v>
      </c>
      <c r="R105" s="5" t="s">
        <v>235</v>
      </c>
      <c r="S105" s="5" t="s">
        <v>31</v>
      </c>
      <c r="T105" s="5" t="s">
        <v>236</v>
      </c>
      <c r="U105" s="5" t="s">
        <v>21</v>
      </c>
    </row>
    <row r="106" spans="1:21" ht="45.2" x14ac:dyDescent="0.3">
      <c r="A106">
        <v>105</v>
      </c>
      <c r="B106" t="s">
        <v>39</v>
      </c>
      <c r="C106" t="s">
        <v>40</v>
      </c>
      <c r="D106" t="s">
        <v>35</v>
      </c>
      <c r="E106" s="3" t="s">
        <v>237</v>
      </c>
      <c r="F106" s="6">
        <v>37</v>
      </c>
      <c r="G106" s="6">
        <v>12</v>
      </c>
      <c r="H106" s="6">
        <v>8.1999999999999993</v>
      </c>
      <c r="I106" s="6">
        <v>8.1999999999999993</v>
      </c>
      <c r="J106" s="6">
        <v>6.2</v>
      </c>
      <c r="K106" s="4">
        <f t="shared" si="9"/>
        <v>28.399999999999991</v>
      </c>
      <c r="L106" s="4">
        <f t="shared" si="10"/>
        <v>6.7538126361655779</v>
      </c>
      <c r="M106" s="4">
        <f t="shared" si="11"/>
        <v>465.56</v>
      </c>
      <c r="N106" s="4">
        <f t="shared" si="12"/>
        <v>379.62715834422664</v>
      </c>
      <c r="O106" s="4">
        <f t="shared" si="13"/>
        <v>341.14715834422663</v>
      </c>
      <c r="P106" s="4">
        <v>0</v>
      </c>
      <c r="Q106" s="5" t="s">
        <v>238</v>
      </c>
      <c r="R106" s="5" t="s">
        <v>239</v>
      </c>
      <c r="S106" s="5" t="s">
        <v>31</v>
      </c>
      <c r="T106" s="5" t="s">
        <v>240</v>
      </c>
      <c r="U106" s="5" t="s">
        <v>21</v>
      </c>
    </row>
    <row r="107" spans="1:21" ht="45.2" x14ac:dyDescent="0.3">
      <c r="A107">
        <v>106</v>
      </c>
      <c r="B107" t="s">
        <v>241</v>
      </c>
      <c r="C107" t="s">
        <v>187</v>
      </c>
      <c r="D107" t="s">
        <v>35</v>
      </c>
      <c r="E107" s="3" t="s">
        <v>45</v>
      </c>
      <c r="F107" s="6">
        <v>32</v>
      </c>
      <c r="G107" s="6">
        <v>16</v>
      </c>
      <c r="H107" s="6">
        <v>8</v>
      </c>
      <c r="I107" s="6">
        <v>10</v>
      </c>
      <c r="J107" s="6">
        <v>3</v>
      </c>
      <c r="K107" s="4">
        <f t="shared" si="9"/>
        <v>31</v>
      </c>
      <c r="L107" s="4">
        <f t="shared" si="10"/>
        <v>3.3333333333333335</v>
      </c>
      <c r="M107" s="4">
        <f t="shared" si="11"/>
        <v>472.2</v>
      </c>
      <c r="N107" s="4">
        <f t="shared" si="12"/>
        <v>408.13819999999998</v>
      </c>
      <c r="O107" s="4">
        <f t="shared" si="13"/>
        <v>374.85820000000001</v>
      </c>
      <c r="P107" s="4">
        <v>0</v>
      </c>
      <c r="Q107" s="5" t="s">
        <v>242</v>
      </c>
      <c r="R107" s="5" t="s">
        <v>243</v>
      </c>
      <c r="S107" s="5" t="s">
        <v>79</v>
      </c>
      <c r="T107" s="5" t="s">
        <v>244</v>
      </c>
      <c r="U107" s="5" t="s">
        <v>245</v>
      </c>
    </row>
    <row r="108" spans="1:21" ht="45.2" x14ac:dyDescent="0.3">
      <c r="A108">
        <v>107</v>
      </c>
      <c r="B108" t="s">
        <v>241</v>
      </c>
      <c r="C108" t="s">
        <v>187</v>
      </c>
      <c r="D108" t="s">
        <v>35</v>
      </c>
      <c r="E108" s="3" t="s">
        <v>45</v>
      </c>
      <c r="F108" s="6">
        <v>42</v>
      </c>
      <c r="G108" s="6">
        <v>18</v>
      </c>
      <c r="H108" s="6">
        <v>8.3000000000000007</v>
      </c>
      <c r="I108" s="6">
        <v>10</v>
      </c>
      <c r="J108" s="6">
        <v>3</v>
      </c>
      <c r="K108" s="4">
        <f t="shared" si="9"/>
        <v>18.700000000000003</v>
      </c>
      <c r="L108" s="4">
        <f t="shared" si="10"/>
        <v>3.3333333333333335</v>
      </c>
      <c r="M108" s="4">
        <f t="shared" si="11"/>
        <v>497.57000000000005</v>
      </c>
      <c r="N108" s="4">
        <f t="shared" si="12"/>
        <v>430.06633666666676</v>
      </c>
      <c r="O108" s="4">
        <f t="shared" si="13"/>
        <v>386.38633666666675</v>
      </c>
      <c r="P108" s="4">
        <v>0</v>
      </c>
      <c r="Q108" s="5" t="s">
        <v>246</v>
      </c>
      <c r="R108" s="5" t="s">
        <v>247</v>
      </c>
      <c r="S108" s="5" t="s">
        <v>55</v>
      </c>
      <c r="T108" s="5" t="s">
        <v>248</v>
      </c>
      <c r="U108" s="5" t="s">
        <v>57</v>
      </c>
    </row>
    <row r="109" spans="1:21" ht="45.2" x14ac:dyDescent="0.3">
      <c r="A109">
        <v>108</v>
      </c>
      <c r="B109" t="s">
        <v>249</v>
      </c>
      <c r="C109" t="s">
        <v>250</v>
      </c>
      <c r="D109" t="s">
        <v>35</v>
      </c>
      <c r="E109" s="3" t="s">
        <v>251</v>
      </c>
      <c r="F109" s="6">
        <v>33</v>
      </c>
      <c r="G109" s="6">
        <v>12</v>
      </c>
      <c r="H109" s="6">
        <v>8</v>
      </c>
      <c r="I109" s="6">
        <v>8</v>
      </c>
      <c r="J109" s="6">
        <v>4</v>
      </c>
      <c r="K109" s="4">
        <f t="shared" si="9"/>
        <v>35</v>
      </c>
      <c r="L109" s="4">
        <f t="shared" si="10"/>
        <v>4.3478260869565215</v>
      </c>
      <c r="M109" s="4">
        <f t="shared" si="11"/>
        <v>460.79999999999995</v>
      </c>
      <c r="N109" s="4">
        <f t="shared" si="12"/>
        <v>391.59986086956519</v>
      </c>
      <c r="O109" s="4">
        <f t="shared" si="13"/>
        <v>357.2798608695652</v>
      </c>
      <c r="P109" s="4">
        <v>0</v>
      </c>
      <c r="Q109" s="5" t="s">
        <v>252</v>
      </c>
      <c r="R109" s="5" t="s">
        <v>253</v>
      </c>
      <c r="S109" s="5" t="s">
        <v>55</v>
      </c>
      <c r="T109" s="5" t="s">
        <v>254</v>
      </c>
      <c r="U109" s="5" t="s">
        <v>51</v>
      </c>
    </row>
    <row r="110" spans="1:21" ht="45.2" x14ac:dyDescent="0.3">
      <c r="A110">
        <v>109</v>
      </c>
      <c r="B110" t="s">
        <v>255</v>
      </c>
      <c r="C110" t="s">
        <v>250</v>
      </c>
      <c r="D110" t="s">
        <v>35</v>
      </c>
      <c r="E110" s="3" t="s">
        <v>256</v>
      </c>
      <c r="F110" s="6">
        <v>34</v>
      </c>
      <c r="G110" s="6">
        <v>15</v>
      </c>
      <c r="H110" s="6">
        <v>8</v>
      </c>
      <c r="I110" s="6">
        <v>10</v>
      </c>
      <c r="J110" s="6">
        <v>2.5</v>
      </c>
      <c r="K110" s="4">
        <f t="shared" si="9"/>
        <v>30.5</v>
      </c>
      <c r="L110" s="4">
        <f t="shared" si="10"/>
        <v>2.7777777777777777</v>
      </c>
      <c r="M110" s="4">
        <f t="shared" si="11"/>
        <v>470.1</v>
      </c>
      <c r="N110" s="4">
        <f t="shared" si="12"/>
        <v>410.05778333333336</v>
      </c>
      <c r="O110" s="4">
        <f t="shared" si="13"/>
        <v>374.69778333333335</v>
      </c>
      <c r="P110" s="4">
        <v>0</v>
      </c>
      <c r="Q110" s="5" t="s">
        <v>257</v>
      </c>
      <c r="R110" s="5" t="s">
        <v>258</v>
      </c>
      <c r="S110" s="5" t="s">
        <v>55</v>
      </c>
      <c r="T110" s="5" t="s">
        <v>259</v>
      </c>
      <c r="U110" s="5" t="s">
        <v>51</v>
      </c>
    </row>
    <row r="111" spans="1:21" ht="45.2" x14ac:dyDescent="0.3">
      <c r="A111">
        <v>110</v>
      </c>
      <c r="B111" t="s">
        <v>38</v>
      </c>
      <c r="C111" t="s">
        <v>369</v>
      </c>
      <c r="D111" t="s">
        <v>35</v>
      </c>
      <c r="E111" s="3" t="s">
        <v>260</v>
      </c>
      <c r="F111" s="6">
        <v>36</v>
      </c>
      <c r="G111" s="6">
        <v>14</v>
      </c>
      <c r="H111" s="6">
        <v>9</v>
      </c>
      <c r="I111" s="6">
        <v>10</v>
      </c>
      <c r="J111" s="6">
        <v>4</v>
      </c>
      <c r="K111" s="4">
        <f t="shared" si="9"/>
        <v>27</v>
      </c>
      <c r="L111" s="4">
        <f t="shared" si="10"/>
        <v>4.4444444444444446</v>
      </c>
      <c r="M111" s="4">
        <f t="shared" si="11"/>
        <v>463.9</v>
      </c>
      <c r="N111" s="4">
        <f t="shared" si="12"/>
        <v>393.59337777777779</v>
      </c>
      <c r="O111" s="4">
        <f t="shared" si="13"/>
        <v>356.15337777777779</v>
      </c>
      <c r="P111" s="4">
        <v>0</v>
      </c>
      <c r="Q111" s="5" t="s">
        <v>261</v>
      </c>
      <c r="R111" s="5" t="s">
        <v>73</v>
      </c>
      <c r="S111" s="5" t="s">
        <v>33</v>
      </c>
      <c r="T111" s="5" t="s">
        <v>74</v>
      </c>
      <c r="U111" s="5" t="s">
        <v>57</v>
      </c>
    </row>
    <row r="112" spans="1:21" ht="60.25" x14ac:dyDescent="0.3">
      <c r="A112">
        <v>111</v>
      </c>
      <c r="B112" t="s">
        <v>38</v>
      </c>
      <c r="C112" t="s">
        <v>369</v>
      </c>
      <c r="D112" t="s">
        <v>35</v>
      </c>
      <c r="E112" s="3" t="s">
        <v>262</v>
      </c>
      <c r="F112" s="6">
        <v>37</v>
      </c>
      <c r="G112" s="6">
        <v>12</v>
      </c>
      <c r="H112" s="6">
        <v>9</v>
      </c>
      <c r="I112" s="6">
        <v>10</v>
      </c>
      <c r="J112" s="6">
        <v>4</v>
      </c>
      <c r="K112" s="4">
        <f t="shared" si="9"/>
        <v>28</v>
      </c>
      <c r="L112" s="4">
        <f t="shared" si="10"/>
        <v>4.4444444444444446</v>
      </c>
      <c r="M112" s="4">
        <f t="shared" si="11"/>
        <v>454.90000000000003</v>
      </c>
      <c r="N112" s="4">
        <f t="shared" si="12"/>
        <v>385.95737777777782</v>
      </c>
      <c r="O112" s="4">
        <f t="shared" si="13"/>
        <v>347.4773777777778</v>
      </c>
      <c r="P112" s="4">
        <v>0</v>
      </c>
      <c r="Q112" s="5" t="s">
        <v>263</v>
      </c>
      <c r="R112" s="5" t="s">
        <v>264</v>
      </c>
      <c r="S112" s="5" t="s">
        <v>48</v>
      </c>
      <c r="T112" s="5" t="s">
        <v>49</v>
      </c>
      <c r="U112" s="5" t="s">
        <v>21</v>
      </c>
    </row>
    <row r="113" spans="1:21" ht="45.2" x14ac:dyDescent="0.3">
      <c r="A113">
        <v>112</v>
      </c>
      <c r="B113" t="s">
        <v>345</v>
      </c>
      <c r="C113" t="s">
        <v>309</v>
      </c>
      <c r="D113" t="s">
        <v>35</v>
      </c>
      <c r="E113" s="3" t="s">
        <v>346</v>
      </c>
      <c r="F113" s="6">
        <v>25</v>
      </c>
      <c r="G113" s="6">
        <v>20</v>
      </c>
      <c r="H113" s="6">
        <v>6</v>
      </c>
      <c r="I113" s="6">
        <v>10</v>
      </c>
      <c r="J113" s="6">
        <v>3.5</v>
      </c>
      <c r="K113" s="4">
        <f t="shared" si="9"/>
        <v>35.5</v>
      </c>
      <c r="L113" s="4">
        <f t="shared" si="10"/>
        <v>3.8888888888888888</v>
      </c>
      <c r="M113" s="4">
        <f t="shared" si="11"/>
        <v>490.4</v>
      </c>
      <c r="N113" s="4">
        <f t="shared" si="12"/>
        <v>419.97311111111105</v>
      </c>
      <c r="O113" s="4">
        <f t="shared" si="13"/>
        <v>393.97311111111105</v>
      </c>
      <c r="P113" s="4">
        <v>0</v>
      </c>
      <c r="Q113" s="5" t="s">
        <v>347</v>
      </c>
      <c r="R113" s="5" t="s">
        <v>348</v>
      </c>
      <c r="S113" s="5" t="s">
        <v>21</v>
      </c>
      <c r="T113" s="5" t="s">
        <v>349</v>
      </c>
      <c r="U113" s="5" t="s">
        <v>21</v>
      </c>
    </row>
    <row r="114" spans="1:21" ht="45.2" x14ac:dyDescent="0.3">
      <c r="A114">
        <v>113</v>
      </c>
      <c r="B114" t="s">
        <v>350</v>
      </c>
      <c r="C114" t="s">
        <v>283</v>
      </c>
      <c r="D114" t="s">
        <v>35</v>
      </c>
      <c r="E114" s="3" t="s">
        <v>351</v>
      </c>
      <c r="F114" s="6">
        <v>33</v>
      </c>
      <c r="G114" s="6">
        <v>15</v>
      </c>
      <c r="H114" s="6">
        <v>8</v>
      </c>
      <c r="I114" s="6">
        <v>8</v>
      </c>
      <c r="J114" s="6">
        <v>5</v>
      </c>
      <c r="K114" s="4">
        <f t="shared" si="9"/>
        <v>31</v>
      </c>
      <c r="L114" s="4">
        <f t="shared" si="10"/>
        <v>5.4347826086956523</v>
      </c>
      <c r="M114" s="4">
        <f t="shared" si="11"/>
        <v>476.70000000000005</v>
      </c>
      <c r="N114" s="4">
        <f t="shared" si="12"/>
        <v>397.70251956521747</v>
      </c>
      <c r="O114" s="4">
        <f t="shared" si="13"/>
        <v>363.38251956521748</v>
      </c>
      <c r="P114" s="4">
        <v>0</v>
      </c>
      <c r="Q114" s="5" t="s">
        <v>352</v>
      </c>
      <c r="R114" s="5" t="s">
        <v>75</v>
      </c>
      <c r="S114" s="5" t="s">
        <v>33</v>
      </c>
      <c r="T114" s="5" t="s">
        <v>76</v>
      </c>
      <c r="U114" s="5" t="s">
        <v>21</v>
      </c>
    </row>
    <row r="115" spans="1:21" ht="45.2" x14ac:dyDescent="0.3">
      <c r="A115">
        <v>114</v>
      </c>
      <c r="B115" t="s">
        <v>353</v>
      </c>
      <c r="C115" t="s">
        <v>354</v>
      </c>
      <c r="D115" t="s">
        <v>35</v>
      </c>
      <c r="E115" s="3" t="s">
        <v>260</v>
      </c>
      <c r="F115" s="6">
        <v>31</v>
      </c>
      <c r="G115" s="6">
        <v>15</v>
      </c>
      <c r="H115" s="6">
        <v>6.5</v>
      </c>
      <c r="I115" s="6">
        <v>10</v>
      </c>
      <c r="J115" s="6">
        <v>2.5</v>
      </c>
      <c r="K115" s="4">
        <f t="shared" si="9"/>
        <v>35</v>
      </c>
      <c r="L115" s="4">
        <f t="shared" si="10"/>
        <v>2.7777777777777777</v>
      </c>
      <c r="M115" s="4">
        <f t="shared" si="11"/>
        <v>471.45000000000005</v>
      </c>
      <c r="N115" s="4">
        <f t="shared" si="12"/>
        <v>411.23535833333335</v>
      </c>
      <c r="O115" s="4">
        <f t="shared" si="13"/>
        <v>378.99535833333334</v>
      </c>
      <c r="P115" s="4">
        <v>0</v>
      </c>
      <c r="Q115" s="5" t="s">
        <v>355</v>
      </c>
      <c r="R115" s="5" t="s">
        <v>356</v>
      </c>
      <c r="S115" s="5" t="s">
        <v>24</v>
      </c>
      <c r="T115" s="5" t="s">
        <v>357</v>
      </c>
      <c r="U115" s="5" t="s">
        <v>21</v>
      </c>
    </row>
    <row r="116" spans="1:21" ht="45.2" x14ac:dyDescent="0.3">
      <c r="A116">
        <v>115</v>
      </c>
      <c r="B116" t="s">
        <v>358</v>
      </c>
      <c r="C116" t="s">
        <v>153</v>
      </c>
      <c r="D116" t="s">
        <v>35</v>
      </c>
      <c r="E116" s="3" t="s">
        <v>359</v>
      </c>
      <c r="F116" s="6">
        <v>32</v>
      </c>
      <c r="G116" s="6">
        <v>22</v>
      </c>
      <c r="H116" s="6">
        <v>8</v>
      </c>
      <c r="I116" s="6">
        <v>8</v>
      </c>
      <c r="J116" s="6">
        <v>2.7</v>
      </c>
      <c r="K116" s="4">
        <f t="shared" si="9"/>
        <v>27.299999999999997</v>
      </c>
      <c r="L116" s="4">
        <f t="shared" si="10"/>
        <v>2.9347826086956523</v>
      </c>
      <c r="M116" s="4">
        <f t="shared" si="11"/>
        <v>512.20000000000005</v>
      </c>
      <c r="N116" s="4">
        <f t="shared" si="12"/>
        <v>445.63070217391311</v>
      </c>
      <c r="O116" s="4">
        <f t="shared" si="13"/>
        <v>412.35070217391308</v>
      </c>
      <c r="P116" s="4">
        <v>0</v>
      </c>
      <c r="Q116" s="5" t="s">
        <v>360</v>
      </c>
      <c r="R116" s="5" t="s">
        <v>361</v>
      </c>
      <c r="S116" s="5" t="s">
        <v>31</v>
      </c>
      <c r="T116" s="5" t="s">
        <v>77</v>
      </c>
      <c r="U116" s="5" t="s">
        <v>362</v>
      </c>
    </row>
    <row r="117" spans="1:21" ht="45.2" x14ac:dyDescent="0.3">
      <c r="A117">
        <v>116</v>
      </c>
      <c r="B117" t="s">
        <v>363</v>
      </c>
      <c r="C117" t="s">
        <v>153</v>
      </c>
      <c r="D117" t="s">
        <v>35</v>
      </c>
      <c r="E117" s="3" t="s">
        <v>364</v>
      </c>
      <c r="F117" s="6">
        <v>34.5</v>
      </c>
      <c r="G117" s="6">
        <v>15</v>
      </c>
      <c r="H117" s="6">
        <v>8.9</v>
      </c>
      <c r="I117" s="6">
        <v>7.5</v>
      </c>
      <c r="J117" s="6">
        <v>2.9</v>
      </c>
      <c r="K117" s="4">
        <f t="shared" si="9"/>
        <v>31.199999999999989</v>
      </c>
      <c r="L117" s="4">
        <f t="shared" si="10"/>
        <v>3.1351351351351351</v>
      </c>
      <c r="M117" s="4">
        <f t="shared" si="11"/>
        <v>477.45999999999992</v>
      </c>
      <c r="N117" s="4">
        <f t="shared" si="12"/>
        <v>414.03782681081083</v>
      </c>
      <c r="O117" s="4">
        <f t="shared" si="13"/>
        <v>378.15782681081083</v>
      </c>
      <c r="P117" s="4">
        <v>0</v>
      </c>
      <c r="Q117" s="5" t="s">
        <v>365</v>
      </c>
      <c r="R117" s="5" t="s">
        <v>366</v>
      </c>
      <c r="S117" s="5" t="s">
        <v>71</v>
      </c>
      <c r="T117" s="5" t="s">
        <v>367</v>
      </c>
      <c r="U117" s="5" t="s">
        <v>60</v>
      </c>
    </row>
  </sheetData>
  <autoFilter ref="A1:U117" xr:uid="{D9CA604B-470B-423A-8831-67E616DB60F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comercial_diets_ecuador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2026-06-22T01:49:17Z</dcterms:modified>
</cp:coreProperties>
</file>