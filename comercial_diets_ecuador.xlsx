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iego\Downloads\"/>
    </mc:Choice>
  </mc:AlternateContent>
  <xr:revisionPtr revIDLastSave="0" documentId="13_ncr:1_{2537BFEE-EBE8-4652-87C2-7D0C42E27533}" xr6:coauthVersionLast="47" xr6:coauthVersionMax="47" xr10:uidLastSave="{00000000-0000-0000-0000-000000000000}"/>
  <bookViews>
    <workbookView xWindow="17764" yWindow="-118" windowWidth="18118" windowHeight="9583" xr2:uid="{7AE70C04-F77D-4B60-BB57-85E0702DB99F}"/>
  </bookViews>
  <sheets>
    <sheet name="comercial_diets_ecuador" sheetId="1" r:id="rId1"/>
  </sheets>
  <definedNames>
    <definedName name="_xlnm._FilterDatabase" localSheetId="0" hidden="1">comercial_diets_ecuador!$A$1:$W$117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7" i="1" l="1"/>
  <c r="M67" i="1" s="1"/>
  <c r="L67" i="1"/>
  <c r="K68" i="1"/>
  <c r="M68" i="1" s="1"/>
  <c r="L68" i="1"/>
  <c r="N68" i="1" s="1"/>
  <c r="O68" i="1" s="1"/>
  <c r="K69" i="1"/>
  <c r="M69" i="1" s="1"/>
  <c r="L69" i="1"/>
  <c r="N69" i="1" s="1"/>
  <c r="O69" i="1" s="1"/>
  <c r="K70" i="1"/>
  <c r="M70" i="1" s="1"/>
  <c r="L70" i="1"/>
  <c r="N70" i="1" s="1"/>
  <c r="O70" i="1" s="1"/>
  <c r="K71" i="1"/>
  <c r="M71" i="1" s="1"/>
  <c r="L71" i="1"/>
  <c r="N71" i="1" s="1"/>
  <c r="O71" i="1" s="1"/>
  <c r="K72" i="1"/>
  <c r="M72" i="1" s="1"/>
  <c r="L72" i="1"/>
  <c r="K73" i="1"/>
  <c r="M73" i="1" s="1"/>
  <c r="L73" i="1"/>
  <c r="N73" i="1" s="1"/>
  <c r="O73" i="1" s="1"/>
  <c r="K74" i="1"/>
  <c r="M74" i="1" s="1"/>
  <c r="L74" i="1"/>
  <c r="K75" i="1"/>
  <c r="L75" i="1"/>
  <c r="M75" i="1"/>
  <c r="K76" i="1"/>
  <c r="M76" i="1" s="1"/>
  <c r="L76" i="1"/>
  <c r="K77" i="1"/>
  <c r="M77" i="1" s="1"/>
  <c r="L77" i="1"/>
  <c r="K78" i="1"/>
  <c r="M78" i="1" s="1"/>
  <c r="L78" i="1"/>
  <c r="K79" i="1"/>
  <c r="L79" i="1"/>
  <c r="M79" i="1"/>
  <c r="K80" i="1"/>
  <c r="L80" i="1"/>
  <c r="M80" i="1"/>
  <c r="N80" i="1"/>
  <c r="O80" i="1" s="1"/>
  <c r="K81" i="1"/>
  <c r="M81" i="1" s="1"/>
  <c r="L81" i="1"/>
  <c r="N81" i="1" s="1"/>
  <c r="O81" i="1" s="1"/>
  <c r="K82" i="1"/>
  <c r="L82" i="1"/>
  <c r="M82" i="1"/>
  <c r="N82" i="1"/>
  <c r="O82" i="1"/>
  <c r="K83" i="1"/>
  <c r="L83" i="1"/>
  <c r="M83" i="1"/>
  <c r="N83" i="1"/>
  <c r="O83" i="1" s="1"/>
  <c r="K84" i="1"/>
  <c r="L84" i="1"/>
  <c r="N84" i="1" s="1"/>
  <c r="O84" i="1" s="1"/>
  <c r="M84" i="1"/>
  <c r="K85" i="1"/>
  <c r="L85" i="1"/>
  <c r="M85" i="1"/>
  <c r="K86" i="1"/>
  <c r="M86" i="1" s="1"/>
  <c r="L86" i="1"/>
  <c r="N86" i="1" s="1"/>
  <c r="O86" i="1" s="1"/>
  <c r="K87" i="1"/>
  <c r="L87" i="1"/>
  <c r="M87" i="1"/>
  <c r="N87" i="1"/>
  <c r="O87" i="1"/>
  <c r="K88" i="1"/>
  <c r="L88" i="1"/>
  <c r="M88" i="1"/>
  <c r="K89" i="1"/>
  <c r="L89" i="1"/>
  <c r="M89" i="1"/>
  <c r="N89" i="1"/>
  <c r="O89" i="1" s="1"/>
  <c r="K90" i="1"/>
  <c r="L90" i="1"/>
  <c r="M90" i="1"/>
  <c r="N90" i="1"/>
  <c r="O90" i="1"/>
  <c r="K91" i="1"/>
  <c r="M91" i="1" s="1"/>
  <c r="L91" i="1"/>
  <c r="K92" i="1"/>
  <c r="L92" i="1"/>
  <c r="M92" i="1"/>
  <c r="N92" i="1"/>
  <c r="O92" i="1"/>
  <c r="K93" i="1"/>
  <c r="M93" i="1" s="1"/>
  <c r="L93" i="1"/>
  <c r="N93" i="1" s="1"/>
  <c r="O93" i="1" s="1"/>
  <c r="K94" i="1"/>
  <c r="M94" i="1" s="1"/>
  <c r="L94" i="1"/>
  <c r="N94" i="1" s="1"/>
  <c r="O94" i="1" s="1"/>
  <c r="K95" i="1"/>
  <c r="M95" i="1" s="1"/>
  <c r="N95" i="1" s="1"/>
  <c r="O95" i="1" s="1"/>
  <c r="L95" i="1"/>
  <c r="K96" i="1"/>
  <c r="L96" i="1"/>
  <c r="M96" i="1"/>
  <c r="N96" i="1"/>
  <c r="O96" i="1"/>
  <c r="K97" i="1"/>
  <c r="L97" i="1"/>
  <c r="M97" i="1"/>
  <c r="N97" i="1"/>
  <c r="O97" i="1" s="1"/>
  <c r="K98" i="1"/>
  <c r="M98" i="1" s="1"/>
  <c r="L98" i="1"/>
  <c r="K99" i="1"/>
  <c r="L99" i="1"/>
  <c r="M99" i="1"/>
  <c r="N99" i="1"/>
  <c r="O99" i="1"/>
  <c r="K100" i="1"/>
  <c r="L100" i="1"/>
  <c r="M100" i="1"/>
  <c r="K101" i="1"/>
  <c r="M101" i="1" s="1"/>
  <c r="L101" i="1"/>
  <c r="N101" i="1" s="1"/>
  <c r="O101" i="1" s="1"/>
  <c r="K102" i="1"/>
  <c r="L102" i="1"/>
  <c r="M102" i="1"/>
  <c r="N102" i="1"/>
  <c r="O102" i="1" s="1"/>
  <c r="K103" i="1"/>
  <c r="L103" i="1"/>
  <c r="M103" i="1"/>
  <c r="K104" i="1"/>
  <c r="M104" i="1" s="1"/>
  <c r="L104" i="1"/>
  <c r="N104" i="1" s="1"/>
  <c r="O104" i="1" s="1"/>
  <c r="K105" i="1"/>
  <c r="M105" i="1" s="1"/>
  <c r="L105" i="1"/>
  <c r="K106" i="1"/>
  <c r="L106" i="1"/>
  <c r="M106" i="1"/>
  <c r="K107" i="1"/>
  <c r="L107" i="1"/>
  <c r="M107" i="1"/>
  <c r="N107" i="1"/>
  <c r="O107" i="1" s="1"/>
  <c r="K108" i="1"/>
  <c r="M108" i="1" s="1"/>
  <c r="L108" i="1"/>
  <c r="N108" i="1" s="1"/>
  <c r="O108" i="1" s="1"/>
  <c r="K109" i="1"/>
  <c r="L109" i="1"/>
  <c r="M109" i="1"/>
  <c r="N109" i="1"/>
  <c r="O109" i="1"/>
  <c r="K110" i="1"/>
  <c r="M110" i="1" s="1"/>
  <c r="L110" i="1"/>
  <c r="K111" i="1"/>
  <c r="M111" i="1" s="1"/>
  <c r="L111" i="1"/>
  <c r="N111" i="1" s="1"/>
  <c r="O111" i="1" s="1"/>
  <c r="K112" i="1"/>
  <c r="M112" i="1" s="1"/>
  <c r="L112" i="1"/>
  <c r="K113" i="1"/>
  <c r="L113" i="1"/>
  <c r="M113" i="1"/>
  <c r="N113" i="1"/>
  <c r="O113" i="1"/>
  <c r="K114" i="1"/>
  <c r="M114" i="1" s="1"/>
  <c r="L114" i="1"/>
  <c r="K115" i="1"/>
  <c r="L115" i="1"/>
  <c r="N115" i="1" s="1"/>
  <c r="O115" i="1" s="1"/>
  <c r="M115" i="1"/>
  <c r="K116" i="1"/>
  <c r="L116" i="1"/>
  <c r="M116" i="1"/>
  <c r="K117" i="1"/>
  <c r="M117" i="1" s="1"/>
  <c r="L117" i="1"/>
  <c r="N117" i="1" s="1"/>
  <c r="O117" i="1" s="1"/>
  <c r="K59" i="1"/>
  <c r="M59" i="1" s="1"/>
  <c r="L59" i="1"/>
  <c r="K60" i="1"/>
  <c r="M60" i="1" s="1"/>
  <c r="L60" i="1"/>
  <c r="K61" i="1"/>
  <c r="M61" i="1" s="1"/>
  <c r="L61" i="1"/>
  <c r="K62" i="1"/>
  <c r="M62" i="1" s="1"/>
  <c r="L62" i="1"/>
  <c r="N62" i="1" s="1"/>
  <c r="O62" i="1" s="1"/>
  <c r="K63" i="1"/>
  <c r="M63" i="1" s="1"/>
  <c r="L63" i="1"/>
  <c r="K64" i="1"/>
  <c r="M64" i="1" s="1"/>
  <c r="L64" i="1"/>
  <c r="K65" i="1"/>
  <c r="M65" i="1" s="1"/>
  <c r="L65" i="1"/>
  <c r="N65" i="1" s="1"/>
  <c r="O65" i="1" s="1"/>
  <c r="K66" i="1"/>
  <c r="M66" i="1" s="1"/>
  <c r="L66" i="1"/>
  <c r="K3" i="1"/>
  <c r="M3" i="1" s="1"/>
  <c r="L3" i="1"/>
  <c r="K4" i="1"/>
  <c r="M4" i="1" s="1"/>
  <c r="L4" i="1"/>
  <c r="K5" i="1"/>
  <c r="M5" i="1" s="1"/>
  <c r="L5" i="1"/>
  <c r="N5" i="1" s="1"/>
  <c r="O5" i="1" s="1"/>
  <c r="K6" i="1"/>
  <c r="L6" i="1"/>
  <c r="M6" i="1"/>
  <c r="N6" i="1"/>
  <c r="O6" i="1"/>
  <c r="K7" i="1"/>
  <c r="M7" i="1" s="1"/>
  <c r="L7" i="1"/>
  <c r="K8" i="1"/>
  <c r="M8" i="1" s="1"/>
  <c r="L8" i="1"/>
  <c r="K9" i="1"/>
  <c r="M9" i="1" s="1"/>
  <c r="L9" i="1"/>
  <c r="K10" i="1"/>
  <c r="M10" i="1" s="1"/>
  <c r="L10" i="1"/>
  <c r="K11" i="1"/>
  <c r="M11" i="1" s="1"/>
  <c r="L11" i="1"/>
  <c r="K12" i="1"/>
  <c r="M12" i="1" s="1"/>
  <c r="L12" i="1"/>
  <c r="K13" i="1"/>
  <c r="M13" i="1" s="1"/>
  <c r="L13" i="1"/>
  <c r="K14" i="1"/>
  <c r="M14" i="1" s="1"/>
  <c r="L14" i="1"/>
  <c r="K15" i="1"/>
  <c r="M15" i="1" s="1"/>
  <c r="L15" i="1"/>
  <c r="K16" i="1"/>
  <c r="M16" i="1" s="1"/>
  <c r="L16" i="1"/>
  <c r="K17" i="1"/>
  <c r="M17" i="1" s="1"/>
  <c r="L17" i="1"/>
  <c r="K18" i="1"/>
  <c r="M18" i="1" s="1"/>
  <c r="L18" i="1"/>
  <c r="K19" i="1"/>
  <c r="M19" i="1" s="1"/>
  <c r="L19" i="1"/>
  <c r="K20" i="1"/>
  <c r="M20" i="1" s="1"/>
  <c r="L20" i="1"/>
  <c r="K21" i="1"/>
  <c r="M21" i="1" s="1"/>
  <c r="L21" i="1"/>
  <c r="K22" i="1"/>
  <c r="M22" i="1" s="1"/>
  <c r="L22" i="1"/>
  <c r="K23" i="1"/>
  <c r="M23" i="1" s="1"/>
  <c r="L23" i="1"/>
  <c r="K24" i="1"/>
  <c r="M24" i="1" s="1"/>
  <c r="L24" i="1"/>
  <c r="K25" i="1"/>
  <c r="M25" i="1" s="1"/>
  <c r="L25" i="1"/>
  <c r="K26" i="1"/>
  <c r="M26" i="1" s="1"/>
  <c r="L26" i="1"/>
  <c r="K27" i="1"/>
  <c r="M27" i="1" s="1"/>
  <c r="L27" i="1"/>
  <c r="K28" i="1"/>
  <c r="M28" i="1" s="1"/>
  <c r="L28" i="1"/>
  <c r="K29" i="1"/>
  <c r="M29" i="1" s="1"/>
  <c r="L29" i="1"/>
  <c r="K30" i="1"/>
  <c r="M30" i="1" s="1"/>
  <c r="L30" i="1"/>
  <c r="K31" i="1"/>
  <c r="M31" i="1" s="1"/>
  <c r="L31" i="1"/>
  <c r="K32" i="1"/>
  <c r="M32" i="1" s="1"/>
  <c r="L32" i="1"/>
  <c r="K33" i="1"/>
  <c r="M33" i="1" s="1"/>
  <c r="L33" i="1"/>
  <c r="K34" i="1"/>
  <c r="M34" i="1" s="1"/>
  <c r="L34" i="1"/>
  <c r="K35" i="1"/>
  <c r="M35" i="1" s="1"/>
  <c r="L35" i="1"/>
  <c r="K36" i="1"/>
  <c r="M36" i="1" s="1"/>
  <c r="L36" i="1"/>
  <c r="K37" i="1"/>
  <c r="M37" i="1" s="1"/>
  <c r="L37" i="1"/>
  <c r="K38" i="1"/>
  <c r="M38" i="1" s="1"/>
  <c r="L38" i="1"/>
  <c r="K39" i="1"/>
  <c r="M39" i="1" s="1"/>
  <c r="L39" i="1"/>
  <c r="K40" i="1"/>
  <c r="M40" i="1" s="1"/>
  <c r="L40" i="1"/>
  <c r="K41" i="1"/>
  <c r="M41" i="1" s="1"/>
  <c r="L41" i="1"/>
  <c r="K42" i="1"/>
  <c r="M42" i="1" s="1"/>
  <c r="L42" i="1"/>
  <c r="K43" i="1"/>
  <c r="M43" i="1" s="1"/>
  <c r="L43" i="1"/>
  <c r="K44" i="1"/>
  <c r="M44" i="1" s="1"/>
  <c r="L44" i="1"/>
  <c r="K45" i="1"/>
  <c r="M45" i="1" s="1"/>
  <c r="L45" i="1"/>
  <c r="K46" i="1"/>
  <c r="M46" i="1" s="1"/>
  <c r="L46" i="1"/>
  <c r="K47" i="1"/>
  <c r="M47" i="1" s="1"/>
  <c r="L47" i="1"/>
  <c r="K48" i="1"/>
  <c r="M48" i="1" s="1"/>
  <c r="L48" i="1"/>
  <c r="K49" i="1"/>
  <c r="M49" i="1" s="1"/>
  <c r="L49" i="1"/>
  <c r="K50" i="1"/>
  <c r="M50" i="1" s="1"/>
  <c r="L50" i="1"/>
  <c r="K51" i="1"/>
  <c r="M51" i="1" s="1"/>
  <c r="L51" i="1"/>
  <c r="K52" i="1"/>
  <c r="M52" i="1" s="1"/>
  <c r="L52" i="1"/>
  <c r="K53" i="1"/>
  <c r="M53" i="1" s="1"/>
  <c r="L53" i="1"/>
  <c r="K54" i="1"/>
  <c r="M54" i="1" s="1"/>
  <c r="L54" i="1"/>
  <c r="K55" i="1"/>
  <c r="M55" i="1" s="1"/>
  <c r="L55" i="1"/>
  <c r="K56" i="1"/>
  <c r="M56" i="1" s="1"/>
  <c r="L56" i="1"/>
  <c r="K57" i="1"/>
  <c r="M57" i="1" s="1"/>
  <c r="L57" i="1"/>
  <c r="K58" i="1"/>
  <c r="M58" i="1" s="1"/>
  <c r="L58" i="1"/>
  <c r="L2" i="1"/>
  <c r="K2" i="1"/>
  <c r="M2" i="1" s="1"/>
  <c r="N72" i="1" l="1"/>
  <c r="O72" i="1" s="1"/>
  <c r="N103" i="1"/>
  <c r="O103" i="1" s="1"/>
  <c r="N114" i="1"/>
  <c r="O114" i="1" s="1"/>
  <c r="N106" i="1"/>
  <c r="O106" i="1" s="1"/>
  <c r="N75" i="1"/>
  <c r="O75" i="1" s="1"/>
  <c r="N64" i="1"/>
  <c r="O64" i="1" s="1"/>
  <c r="N79" i="1"/>
  <c r="O79" i="1" s="1"/>
  <c r="N116" i="1"/>
  <c r="O116" i="1" s="1"/>
  <c r="N74" i="1"/>
  <c r="O74" i="1" s="1"/>
  <c r="N78" i="1"/>
  <c r="O78" i="1" s="1"/>
  <c r="N77" i="1"/>
  <c r="O77" i="1" s="1"/>
  <c r="N85" i="1"/>
  <c r="O85" i="1" s="1"/>
  <c r="N61" i="1"/>
  <c r="O61" i="1" s="1"/>
  <c r="N91" i="1"/>
  <c r="O91" i="1" s="1"/>
  <c r="N67" i="1"/>
  <c r="O67" i="1" s="1"/>
  <c r="N88" i="1"/>
  <c r="O88" i="1" s="1"/>
  <c r="N100" i="1"/>
  <c r="O100" i="1" s="1"/>
  <c r="N98" i="1"/>
  <c r="O98" i="1" s="1"/>
  <c r="N105" i="1"/>
  <c r="O105" i="1" s="1"/>
  <c r="N110" i="1"/>
  <c r="O110" i="1" s="1"/>
  <c r="N76" i="1"/>
  <c r="O76" i="1" s="1"/>
  <c r="N58" i="1"/>
  <c r="O58" i="1" s="1"/>
  <c r="N112" i="1"/>
  <c r="O112" i="1" s="1"/>
  <c r="N59" i="1"/>
  <c r="O59" i="1" s="1"/>
  <c r="N21" i="1"/>
  <c r="O21" i="1" s="1"/>
  <c r="N63" i="1"/>
  <c r="O63" i="1" s="1"/>
  <c r="N66" i="1"/>
  <c r="O66" i="1" s="1"/>
  <c r="N9" i="1"/>
  <c r="O9" i="1" s="1"/>
  <c r="N60" i="1"/>
  <c r="O60" i="1" s="1"/>
  <c r="N20" i="1"/>
  <c r="O20" i="1" s="1"/>
  <c r="N45" i="1"/>
  <c r="O45" i="1" s="1"/>
  <c r="N13" i="1"/>
  <c r="O13" i="1" s="1"/>
  <c r="N34" i="1"/>
  <c r="O34" i="1" s="1"/>
  <c r="N23" i="1"/>
  <c r="O23" i="1" s="1"/>
  <c r="N38" i="1"/>
  <c r="O38" i="1" s="1"/>
  <c r="N22" i="1"/>
  <c r="O22" i="1" s="1"/>
  <c r="N50" i="1"/>
  <c r="O50" i="1" s="1"/>
  <c r="N46" i="1"/>
  <c r="O46" i="1" s="1"/>
  <c r="N55" i="1"/>
  <c r="O55" i="1" s="1"/>
  <c r="N33" i="1"/>
  <c r="O33" i="1" s="1"/>
  <c r="N26" i="1"/>
  <c r="O26" i="1" s="1"/>
  <c r="N11" i="1"/>
  <c r="O11" i="1" s="1"/>
  <c r="N49" i="1"/>
  <c r="O49" i="1" s="1"/>
  <c r="N35" i="1"/>
  <c r="O35" i="1" s="1"/>
  <c r="N7" i="1"/>
  <c r="O7" i="1" s="1"/>
  <c r="N31" i="1"/>
  <c r="O31" i="1" s="1"/>
  <c r="N57" i="1"/>
  <c r="O57" i="1" s="1"/>
  <c r="N44" i="1"/>
  <c r="O44" i="1" s="1"/>
  <c r="N19" i="1"/>
  <c r="O19" i="1" s="1"/>
  <c r="N18" i="1"/>
  <c r="O18" i="1" s="1"/>
  <c r="N47" i="1"/>
  <c r="O47" i="1" s="1"/>
  <c r="N42" i="1"/>
  <c r="O42" i="1" s="1"/>
  <c r="N32" i="1"/>
  <c r="O32" i="1" s="1"/>
  <c r="N4" i="1"/>
  <c r="O4" i="1" s="1"/>
  <c r="N2" i="1"/>
  <c r="O2" i="1" s="1"/>
  <c r="N40" i="1"/>
  <c r="O40" i="1" s="1"/>
  <c r="N15" i="1"/>
  <c r="O15" i="1" s="1"/>
  <c r="N30" i="1"/>
  <c r="O30" i="1" s="1"/>
  <c r="N14" i="1"/>
  <c r="O14" i="1" s="1"/>
  <c r="N52" i="1"/>
  <c r="O52" i="1" s="1"/>
  <c r="N43" i="1"/>
  <c r="O43" i="1" s="1"/>
  <c r="N25" i="1"/>
  <c r="O25" i="1" s="1"/>
  <c r="N56" i="1"/>
  <c r="O56" i="1" s="1"/>
  <c r="N28" i="1"/>
  <c r="O28" i="1" s="1"/>
  <c r="N37" i="1"/>
  <c r="O37" i="1" s="1"/>
  <c r="N16" i="1"/>
  <c r="O16" i="1" s="1"/>
  <c r="N54" i="1"/>
  <c r="O54" i="1" s="1"/>
  <c r="N8" i="1"/>
  <c r="O8" i="1" s="1"/>
  <c r="N3" i="1"/>
  <c r="O3" i="1" s="1"/>
  <c r="N10" i="1"/>
  <c r="O10" i="1" s="1"/>
  <c r="N51" i="1"/>
  <c r="O51" i="1" s="1"/>
  <c r="N48" i="1"/>
  <c r="O48" i="1" s="1"/>
  <c r="N39" i="1"/>
  <c r="O39" i="1" s="1"/>
  <c r="N36" i="1"/>
  <c r="O36" i="1" s="1"/>
  <c r="N27" i="1"/>
  <c r="O27" i="1" s="1"/>
  <c r="N24" i="1"/>
  <c r="O24" i="1" s="1"/>
  <c r="N12" i="1"/>
  <c r="O12" i="1" s="1"/>
  <c r="N53" i="1"/>
  <c r="O53" i="1" s="1"/>
  <c r="N41" i="1"/>
  <c r="O41" i="1" s="1"/>
  <c r="N29" i="1"/>
  <c r="O29" i="1" s="1"/>
  <c r="N17" i="1"/>
  <c r="O17" i="1" s="1"/>
</calcChain>
</file>

<file path=xl/sharedStrings.xml><?xml version="1.0" encoding="utf-8"?>
<sst xmlns="http://schemas.openxmlformats.org/spreadsheetml/2006/main" count="1067" uniqueCount="643">
  <si>
    <t>ID</t>
  </si>
  <si>
    <t>Nombre</t>
  </si>
  <si>
    <t>Marca</t>
  </si>
  <si>
    <t>Especie</t>
  </si>
  <si>
    <t>Etapa_de_Vida</t>
  </si>
  <si>
    <t>PB(%)</t>
  </si>
  <si>
    <t>EE(%)</t>
  </si>
  <si>
    <t>Ash(%)</t>
  </si>
  <si>
    <t>Humedad(%)</t>
  </si>
  <si>
    <t>FC(%)</t>
  </si>
  <si>
    <t>ENA(%)</t>
  </si>
  <si>
    <t>FC_MS (%)</t>
  </si>
  <si>
    <t>GE(kcal)</t>
  </si>
  <si>
    <t>DE(kcal)</t>
  </si>
  <si>
    <t>ME(kcal)</t>
  </si>
  <si>
    <t>Precio_USD_kg</t>
  </si>
  <si>
    <t>Fuente_PB</t>
  </si>
  <si>
    <t>Fuente_EE</t>
  </si>
  <si>
    <t>Fuente_FC</t>
  </si>
  <si>
    <t>Otros</t>
  </si>
  <si>
    <t>Adulto</t>
  </si>
  <si>
    <t>—</t>
  </si>
  <si>
    <t>Adultos</t>
  </si>
  <si>
    <t>Bosch</t>
  </si>
  <si>
    <t>Grasa animal</t>
  </si>
  <si>
    <t>Earthborn Holistic Weight Control</t>
  </si>
  <si>
    <t>Gosbi</t>
  </si>
  <si>
    <t>Monge</t>
  </si>
  <si>
    <t>ProCan</t>
  </si>
  <si>
    <t>Pronaca</t>
  </si>
  <si>
    <t>ROYAL CANIN</t>
  </si>
  <si>
    <t>Grasas animales</t>
  </si>
  <si>
    <t>Royal Canin</t>
  </si>
  <si>
    <t>Aceite de pollo</t>
  </si>
  <si>
    <t>Vitalcan Balanced</t>
  </si>
  <si>
    <t>Felino</t>
  </si>
  <si>
    <t>Cat Chow</t>
  </si>
  <si>
    <t>Purina</t>
  </si>
  <si>
    <t>Wellness</t>
  </si>
  <si>
    <t>Royal canin Sterilised 37</t>
  </si>
  <si>
    <t>Royal canin</t>
  </si>
  <si>
    <t>Royal Canin Fit 32</t>
  </si>
  <si>
    <t>Mimaskot</t>
  </si>
  <si>
    <t>Molitalia</t>
  </si>
  <si>
    <t>Razza</t>
  </si>
  <si>
    <t>Todas las etapas</t>
  </si>
  <si>
    <t>Ingredientes (10 primeros de la lista)</t>
  </si>
  <si>
    <t>Aceite de pollo; Palmiste</t>
  </si>
  <si>
    <t>Aceite de pollo; Aceite de pescado</t>
  </si>
  <si>
    <t>Almidón de yuca</t>
  </si>
  <si>
    <t>Arroz; Maíz; Pulpa de remolacha</t>
  </si>
  <si>
    <t>Levadura de cerveza</t>
  </si>
  <si>
    <t>Aceite de salmón</t>
  </si>
  <si>
    <t>Grasa de pollo; Aceite de pescado</t>
  </si>
  <si>
    <t>Grasa animal y/o vegetal</t>
  </si>
  <si>
    <t>Grasa de pollo</t>
  </si>
  <si>
    <t>Levadura de cerveza seca</t>
  </si>
  <si>
    <t>Cloruro de potasio</t>
  </si>
  <si>
    <t>Harina de subproductos de pollo; Producto de huevo seco</t>
  </si>
  <si>
    <t>Harina de maíz; Trigo integral molido; Sorgo integral molido; Arroz de cervecería; Pulpa de remolacha seca</t>
  </si>
  <si>
    <t>Minerales</t>
  </si>
  <si>
    <t>Sal</t>
  </si>
  <si>
    <t>Arroz; Pulpa de remolacha; Cáscara de soja</t>
  </si>
  <si>
    <t>Harina de subproductos de pollo; Gluten de maíz; Huevo en polvo; Hidrolizado proteico de pollo</t>
  </si>
  <si>
    <t>Maíz; Arroz; Pulpa de remolacha</t>
  </si>
  <si>
    <t>Levadura de cerveza inactivada</t>
  </si>
  <si>
    <t>Grasa animal (aceite de pollo purificado); Semillas de lino</t>
  </si>
  <si>
    <t>Arroz; Maíz; Trigo; Pulpa de cítricos deshidratada</t>
  </si>
  <si>
    <t>Aceite de pollo y/o grasa vacuna</t>
  </si>
  <si>
    <t>Maíz; Arroz; Coproductos de trigo; Sorgo; Coproductos de arroz</t>
  </si>
  <si>
    <t>Saborizante (hidrolizados líquidos/polvo)</t>
  </si>
  <si>
    <t>Grasas animales; Aceite de pescado</t>
  </si>
  <si>
    <t>Grasas animales; Aceite de pescado; Aceite de soja</t>
  </si>
  <si>
    <t>Harina de salmón; Harina de pollo; Harina de arveja; Huevo en polvo; Harina de calamar; Harina de pescado</t>
  </si>
  <si>
    <t>Almidón de yuca; Pulpa de remolacha</t>
  </si>
  <si>
    <t>Harina de pavo; Hidrolizado de hígado porcino deshidratado; Arvejas secas</t>
  </si>
  <si>
    <t>Arroz; Cebada; Pulpa de remolacha; Avena; Celulosa en polvo; Coco deshidratado</t>
  </si>
  <si>
    <t>Arroz; Maíz; Fibras vegetales; Pulpa de remolacha</t>
  </si>
  <si>
    <t>Sabor natural</t>
  </si>
  <si>
    <t>Aceite de canola</t>
  </si>
  <si>
    <t>Canino</t>
  </si>
  <si>
    <t>Cachorro-Razas pequeñas</t>
  </si>
  <si>
    <t>Harina de pollo; Coproductos de procesamiento de aves; Pasta de soya; Gluten de maíz; Grasa animal y/o vegetal; Maíz; Coproductos de trigo; Coproductos de arroz; Pulpa de remolacha; Levadura de cerveza</t>
  </si>
  <si>
    <t>Harina de pollo; Coproductos de procesamiento de aves; Pasta de soya; Gluten de maíz</t>
  </si>
  <si>
    <t>Maíz; Coproductos de trigo; Coproductos de arroz; Pulpa de remolacha</t>
  </si>
  <si>
    <t>Cachorro-Razas medianas &amp; Grandes</t>
  </si>
  <si>
    <t>Senior- 7 + años</t>
  </si>
  <si>
    <t>Coproductos de procesamiento de aves y/o cerdos; Gluten de maíz; Pasta de soya; Grasa animal y/o vegetal; Maíz; Arroz; Coproductos de trigo; Sorgo; Coproductos de arroz; Saborizante (hidrolizados líquidos/polvo)</t>
  </si>
  <si>
    <t>Coproductos de procesamiento de aves y/o cerdos; Gluten de maíz; Pasta de soya</t>
  </si>
  <si>
    <t>Nutri Blance</t>
  </si>
  <si>
    <t>Animal Planet</t>
  </si>
  <si>
    <t>Adultos Razas Medianas Y Grandes</t>
  </si>
  <si>
    <t>Harina de ave; Proteína hidrolizada de ave y/o cerdo; Proteína hidrolizada de pescado; Harina de carne y hueso bovino; Grasa de aves de corral y/o vegetal; Arroz; Maíz; Salvado de arroz; Harinilla de trigo; Levadura de cerveza</t>
  </si>
  <si>
    <t>Harina de ave; Proteína hidrolizada de ave y/o cerdo; Proteína hidrolizada de pescado; Harina de carne y hueso bovino</t>
  </si>
  <si>
    <t>Grasa de aves de corral y/o vegetal</t>
  </si>
  <si>
    <t>Arroz; Maíz; Salvado de arroz; Harinilla de trigo</t>
  </si>
  <si>
    <t>Pro Plan</t>
  </si>
  <si>
    <t>Purina Pro Plan</t>
  </si>
  <si>
    <t>Adultos-Razas medianas &amp; Grandes con tendencia al sobrepeso</t>
  </si>
  <si>
    <t>Harina de subproductos de pollo; Gluten de maíz; Hidrolizado a base de subproductos de pollo y/o cerdo; Maíz; Trigo; Fibra de soya; Arroz; Pulpa de remolacha; Carbonato y/o fosfato cálcico; Sal</t>
  </si>
  <si>
    <t>Harina de subproductos de pollo; Gluten de maíz; Hidrolizado a base de subproductos de pollo y/o cerdo</t>
  </si>
  <si>
    <t>Maíz; Trigo; Fibra de soya; Arroz; Pulpa de remolacha</t>
  </si>
  <si>
    <t>Carbonato y/o fosfato cálcico; Sal</t>
  </si>
  <si>
    <t>Adultos-Razas pequeñas</t>
  </si>
  <si>
    <t>Harina de soya; Harina de carne y hueso vacuno/Harina de subproductos de aves; Hidrolizado enzimático de hígado animal; Aceites y grasas de origen animal; Harina y subproductos de trigo; Maíz; Arroz y subproductos de arroz; Almidón de maíz; Azúcar; Glicerina</t>
  </si>
  <si>
    <t>Harina de soya; Harina de carne y hueso vacuno/Harina de subproductos de aves; Hidrolizado enzimático de hígado animal</t>
  </si>
  <si>
    <t>Aceites y grasas de origen animal</t>
  </si>
  <si>
    <t>Harina y subproductos de trigo; Maíz; Arroz y subproductos de arroz; Almidón de maíz</t>
  </si>
  <si>
    <t>Azúcar; Glicerina</t>
  </si>
  <si>
    <t>Adultos-Razas medianas &amp; Grandes</t>
  </si>
  <si>
    <t>Harina de soya; Harina de carne y hueso vacuno; Hidrolizado enzimático de hígado animal; Aceites y grasas de origen animal; Harina y subproductos de trigo; Maíz; Arroz y subproductos de arroz; Almidón de maíz; Azúcar; Glicerina</t>
  </si>
  <si>
    <t>Harina de soya; Harina de carne y hueso vacuno; Hidrolizado enzimático de hígado animal</t>
  </si>
  <si>
    <t>Pure Nature</t>
  </si>
  <si>
    <t>Pasta de soya; Harina de pollo; Hidrolizado de pollo; Aceite de pollo; Palmiste; Grasa bovina; Maíz; Arroz partido; Trigo; Afrechillo de trigo</t>
  </si>
  <si>
    <t>Pasta de soya; Harina de pollo; Hidrolizado de pollo</t>
  </si>
  <si>
    <t>Aceite de pollo; Palmiste; Grasa bovina</t>
  </si>
  <si>
    <t>Maíz; Arroz partido; Trigo; Afrechillo de trigo</t>
  </si>
  <si>
    <t>Dow Chow</t>
  </si>
  <si>
    <t>Adultos-Todos los tamaños control de peso</t>
  </si>
  <si>
    <t>Harinas proteicas de origen animal; Concentrado proteico de soya y/o maíz; Hidrolizado a base de menudencias de cerdo y/o pollo; Harina de pescado y/o harina de alga (Schizochytrium sp.); Grasa vacuna y/o porcina y/o avícola y/o de pescado y/o vegetal; Maíz y/o sorgo; Trigo; Arroz; Fibras de trigo y/o soya y/o maíz y/o yuca y/o caña de azúcar y/o celulosa; Sal</t>
  </si>
  <si>
    <t>Harinas proteicas de origen animal; Concentrado proteico de soya y/o maíz; Hidrolizado a base de menudencias de cerdo y/o pollo; Harina de pescado y/o harina de alga (Schizochytrium sp.)</t>
  </si>
  <si>
    <t>Grasa vacuna y/o porcina y/o avícola y/o de pescado y/o vegetal</t>
  </si>
  <si>
    <t>Maíz y/o sorgo; Trigo; Arroz; Fibras de trigo y/o soya y/o maíz y/o yuca y/o caña de azúcar y/o celulosa</t>
  </si>
  <si>
    <t>Adultos-Medianos y Grandes</t>
  </si>
  <si>
    <t>Harinas proteicas de origen animal; Harina de soya y/o concentrado proteico de soya y/o gluten de maíz; Hidrolizado a base de menudencias de cerdo y/o pollo; Harina de pescado y/o harina de alga (Schizochytrium sp.); Grasa vacuna y/o porcina y/o avícola y/o de pescado y/o vegetal; Maíz y/o sorgo; Arroz; Trigo; Salvado de trigo y/o fibra de soya y/o fibra de maíz y/o fibra de yuca; Sales minerales</t>
  </si>
  <si>
    <t>Harinas proteicas de origen animal; Harina de soya y/o concentrado proteico de soya y/o gluten de maíz; Hidrolizado a base de menudencias de cerdo y/o pollo; Harina de pescado y/o harina de alga (Schizochytrium sp.)</t>
  </si>
  <si>
    <t>Maíz y/o sorgo; Arroz; Trigo; Salvado de trigo y/o fibra de soya y/o fibra de maíz y/o fibra de yuca</t>
  </si>
  <si>
    <t>Sales minerales</t>
  </si>
  <si>
    <t>Harina de pollo y/o cerdo; Pasta de soya; Gluten de maíz; Hidrolizado líquido de vísceras de pollo; Arrocillo; Trigo; Maíz; Avena; Afrecho de trigo; Mix de frutas y vegetales (banana, manzana, calabaza, extractos de brócoli y arándanos)</t>
  </si>
  <si>
    <t>Harina de pollo y/o cerdo; Pasta de soya; Gluten de maíz; Hidrolizado líquido de vísceras de pollo</t>
  </si>
  <si>
    <t>Arrocillo; Trigo; Maíz; Avena; Afrecho de trigo; Mix de frutas y vegetales</t>
  </si>
  <si>
    <t>Gosbi Exclusive Fish Salmón</t>
  </si>
  <si>
    <t>Adultos de raza Mediana</t>
  </si>
  <si>
    <t>Salmón deshidratado; Pescado deshidratado; Aceite de salmón; Arroz; Lentejas; Patata; Guisantes; Garbanzos; Manzana deshidratada; Frutas y verduras mediterráneas</t>
  </si>
  <si>
    <t>Salmón deshidratado; Pescado deshidratado</t>
  </si>
  <si>
    <t>Arroz; Lentejas; Patata; Guisantes; Garbanzos; Manzana deshidratada; Frutas y verduras mediterráneas</t>
  </si>
  <si>
    <t>Theo</t>
  </si>
  <si>
    <t>TuTi</t>
  </si>
  <si>
    <t>Adultos Todas las razas</t>
  </si>
  <si>
    <t>Harina de pollo y/o cerdo; Pasta de soya; Soya en grano; Hidrolizado de pollo; Aceite de pollo; Palmiste; Maíz y/o subproductos; Trigo y/o subproductos; Arrocillo; Afrecho de trigo</t>
  </si>
  <si>
    <t>Harina de pollo y/o cerdo; Pasta de soya; Soya en grano; Hidrolizado de pollo</t>
  </si>
  <si>
    <t>Maíz y/o subproductos; Trigo y/o subproductos; Arrocillo; Afrecho de trigo</t>
  </si>
  <si>
    <t>Cachorros Todas las razas</t>
  </si>
  <si>
    <t>Harina de cerdo; Pasta de soya; Soya en grano; Hidrolizado de pollo; Aceite de pollo; Trigo y/o subproductos; Arrocillo; Afrecho de trigo; Maíz; Afrecho de malta</t>
  </si>
  <si>
    <t>Harina de cerdo; Pasta de soya; Soya en grano; Hidrolizado de pollo</t>
  </si>
  <si>
    <t>Trigo y/o subproductos; Arrocillo; Afrecho de trigo; Maíz; Afrecho de malta</t>
  </si>
  <si>
    <t>Chiki</t>
  </si>
  <si>
    <t>Adultos y Gatitos</t>
  </si>
  <si>
    <t>Harina de pollo; Pasta de soya; Gluten de maíz; Harina de pescado premium; Grasa animal y/o vegetal; Maíz; Trigo y/o fibra de trigo; Arroz partido y/o fibra de arroz; Levadura de cerveza y/o caña; Saborizante</t>
  </si>
  <si>
    <t>Harina de pollo; Pasta de soya; Gluten de maíz; Harina de pescado premium</t>
  </si>
  <si>
    <t>Maíz; Trigo y/o fibra de trigo; Arroz partido y/o fibra de arroz</t>
  </si>
  <si>
    <t>Levadura de cerveza y/o caña; Saborizante</t>
  </si>
  <si>
    <t>Whiskas</t>
  </si>
  <si>
    <t>Mars incorporated</t>
  </si>
  <si>
    <t>Harina de carne y hueso/subproductos de pollo/res/cerdo; Grasa de res y/o pollo y/o cerdo; Cereales y derivados (maíz, trigo, arroz, sorgo, cebada); Zanahoria deshidratada; Sabores naturales/artificiales; Colores naturales/artificiales; Sal yodada; Taurina; MOS</t>
  </si>
  <si>
    <t>Harina de carne y hueso/subproductos de pollo/res/cerdo</t>
  </si>
  <si>
    <t>Grasa de res y/o pollo y/o cerdo</t>
  </si>
  <si>
    <t>Cereales y derivados (maíz, trigo, arroz, sorgo, cebada); Zanahoria deshidratada</t>
  </si>
  <si>
    <t>Sabores naturales/artificiales; Colores naturales/artificiales; Sal yodada; Taurina; MOS</t>
  </si>
  <si>
    <t>Harina de carne y hueso/subproductos de pollo/res/cerdo; Grasa de res y/o pollo y/o cerdo; Cereales y derivados (maíz, trigo, arroz, sorgo, cebada); Zanahoria deshidratada; Chícharo deshidratado; Sabores naturales/artificiales; Sal yodada; Taurina; MOS</t>
  </si>
  <si>
    <t>Cereales y derivados (maíz, trigo, arroz, sorgo, cebada); Zanahoria deshidratada; Chícharo deshidratado</t>
  </si>
  <si>
    <t>Sabores naturales/artificiales; Sal yodada; Taurina; MOS</t>
  </si>
  <si>
    <t>Alimento para gatos Mi Comisariato</t>
  </si>
  <si>
    <t>Mi Comisariato</t>
  </si>
  <si>
    <t>Pasta de soya; Harina de pescado; Harina de carne y hueso; Aceite de pollo; Grasa de pollo; Grasa bovina; Maíz; Levadura de cerveza; Sal; Lactosa reducida</t>
  </si>
  <si>
    <t>Pasta de soya; Harina de pescado; Harina de carne y hueso</t>
  </si>
  <si>
    <t>Aceite de pollo; Grasa de pollo; Grasa bovina</t>
  </si>
  <si>
    <t>Maíz</t>
  </si>
  <si>
    <t>Levadura de cerveza; Sal; Lactosa reducida</t>
  </si>
  <si>
    <t>Michu</t>
  </si>
  <si>
    <t>Pasta de soya; Harina de pollo; Grano de soya; Hidrolizado de pollo y/o cerdo; Maíz; Arroz partido; Afrecho de cerveza; Cloruro de sodio; Ácido fosfórico</t>
  </si>
  <si>
    <t>Pasta de soya; Harina de pollo; Grano de soya; Hidrolizado de pollo y/o cerdo</t>
  </si>
  <si>
    <t>Maíz; Arroz partido; Afrecho de cerveza</t>
  </si>
  <si>
    <t>Cloruro de sodio; Ácido fosfórico</t>
  </si>
  <si>
    <t>Harinas proteicas de origen animal; Harina de pescado y/o harina de alga; Concentrado proteico de soya y/o maíz; Hidrolizado a base de hígados de pollo y/o cerdo; Queso rallado; Grasa vacuna y/o porcina y/o avícola y/o de pescado y/o vegetal; Maíz y/o arroz y/o trigo y/o sorgo; Fibras de soya y/o caña de azúcar y/o celulosa; Vegetales deshidratados (espinacas, zanahoria, tomate); Pirofosfato tetra sódico (TSPP)</t>
  </si>
  <si>
    <t>Harinas proteicas de origen animal; Harina de pescado y/o harina de alga; Concentrado proteico de soya y/o maíz; Hidrolizado a base de hígados de pollo y/o cerdo; Queso rallado</t>
  </si>
  <si>
    <t>Maíz y/o arroz y/o trigo y/o sorgo; Fibras de soya y/o caña de azúcar y/o celulosa; Vegetales deshidratados</t>
  </si>
  <si>
    <t>Pirofosfato tetra sódico (TSPP)</t>
  </si>
  <si>
    <t>Avant</t>
  </si>
  <si>
    <t>Cachorro-Razas miniaturas y pequeñas</t>
  </si>
  <si>
    <t>Carne de pollo y/o cerdo; Grasa animal y/o vegetal; Semillas de linaza; Maíz integral y derivados; Arroz y derivados; Trigo y derivados; Pulpa de remolacha; Celulosa; Saborizante; Levadura de caña y/o cebada</t>
  </si>
  <si>
    <t>Carne de pollo y/o cerdo</t>
  </si>
  <si>
    <t>Grasa animal y/o vegetal; Semillas de linaza</t>
  </si>
  <si>
    <t>Maíz integral y derivados; Arroz y derivados; Trigo y derivados; Pulpa de remolacha; Celulosa</t>
  </si>
  <si>
    <t>Saborizante; Levadura de caña y/o cebada</t>
  </si>
  <si>
    <t>Adultos-Razas miniaturas y pequeñas</t>
  </si>
  <si>
    <t>Taste Of The Wild Pacific Stream</t>
  </si>
  <si>
    <t>Diamond Pet Foods-VETERINO S.A.S.</t>
  </si>
  <si>
    <t>Adulto todas las razas</t>
  </si>
  <si>
    <t>Salmón; Harina de pescado oceánico; Guisantes; Lentejas; Salmón oceánico; Salmón ahumado; Aceite de canola; Batatas; Patatas; Pulpa de tomate</t>
  </si>
  <si>
    <t>Salmón; Harina de pescado oceánico; Guisantes; Lentejas; Salmón oceánico; Salmón ahumado</t>
  </si>
  <si>
    <t>Batatas; Patatas; Pulpa de tomate</t>
  </si>
  <si>
    <t>Perros de razas medianas y grandes</t>
  </si>
  <si>
    <t>Harina de subproductos de pollo; Gluten de maíz; Hidrolizado a base de subproductos de pollo y/o cerdo; Maíz; Trigo; Fibra de soja; Arroz; Pulpa de remolacha; Carbonato y/o fosfato cálcico; Sal</t>
  </si>
  <si>
    <t>Maíz; Trigo; Fibra de soja; Arroz; Pulpa de remolacha</t>
  </si>
  <si>
    <t>Pro Plan Sensitive Skin</t>
  </si>
  <si>
    <t>Razas Pequeñas</t>
  </si>
  <si>
    <t>Carne de salmón congelada; Gluten de maíz; Harina de pescado; Hidrolizado a base de subproductos de pollo y/o cerdo; Aceite de pollo y/o grasa vacuna; Maíz; Arroz; Pulpa de remolacha; Carbonato cálcico y/o fosfato cálcico; Cloruro de potasio</t>
  </si>
  <si>
    <t>Carne de salmón congelada; Gluten de maíz; Harina de pescado; Hidrolizado a base de subproductos de pollo y/o cerdo</t>
  </si>
  <si>
    <t>Carbonato cálcico y/o fosfato cálcico; Cloruro de potasio</t>
  </si>
  <si>
    <t>Sensitive Adultos BEWI DOG</t>
  </si>
  <si>
    <t>Bewi Dog</t>
  </si>
  <si>
    <t>Perros Adultos Sensibles</t>
  </si>
  <si>
    <t>Proteínas de ave; Proteínas de cordero; Grasa de ave; Aceite vegetal (palma, coco); Maíz; Harinillas de maíz; Cebada; Arroz; Pulpa de remolacha seca; Levadura de cerveza seca</t>
  </si>
  <si>
    <t>Proteínas de ave; Proteínas de cordero</t>
  </si>
  <si>
    <t>Grasa de ave; Aceite vegetal (palma, coco)</t>
  </si>
  <si>
    <t>Maíz; Harinillas de maíz; Cebada; Arroz; Pulpa de remolacha seca</t>
  </si>
  <si>
    <t>Special Dog Excellence</t>
  </si>
  <si>
    <t>Pollo deshidratado; Proteínas animales hidrolizadas (hígado); Huevos enteros deshidratados; Grasa animal (aceite de pollo purificado); Semillas de lino; Arroz; Maíz; Trigo; Pulpa de cítricos deshidratada; Levadura de cerveza inactivada</t>
  </si>
  <si>
    <t>Pollo deshidratado; Proteínas animales hidrolizadas (hígado); Huevos enteros deshidratados</t>
  </si>
  <si>
    <t>Arquivet-SENSITIVE</t>
  </si>
  <si>
    <t>Natural pet food</t>
  </si>
  <si>
    <t>Perros Adultos Razas Medianas</t>
  </si>
  <si>
    <t>Carne fresca de salmón; Harina de salmón; Hidrolizado de salmón; Aceite de pollo; Arroz; Maíz; Patata; Pulpa de remolacha; Achicoria (FOS); Levaduras</t>
  </si>
  <si>
    <t>Carne fresca de salmón; Harina de salmón; Hidrolizado de salmón</t>
  </si>
  <si>
    <t>Arroz; Maíz; Patata; Pulpa de remolacha; Achicoria (FOS)</t>
  </si>
  <si>
    <t>Levaduras</t>
  </si>
  <si>
    <t>Perros Adultos de razas medianas y grandes</t>
  </si>
  <si>
    <t>Carne de salmón congelada; Gluten de maíz; Harina de pescado; Hidrolizado a base de subproductos de pollo y/o cerdo; Aceite de pollo y/o grasa vacuna; Maíz; Arroz; Pulpa de remolacha; Carbonato y/o fosfato cálcico; Sal</t>
  </si>
  <si>
    <t>EUKANUBA PUPPY LARGE BREED</t>
  </si>
  <si>
    <t>EUKANUBA</t>
  </si>
  <si>
    <t>Cachorro de razas grandes o perros mestizos que en su etapa adulta pesan más de 25 kg (razas grandes) o más de 50 kg (razas gigantes).</t>
  </si>
  <si>
    <t>Harina de subproductos de pollo; Producto de huevo seco; Grasa de pollo; Aceite de pescado; Harina de maíz; Trigo integral molido; Sorgo integral molido; Arroz de cervecería; Pulpa de remolacha seca; Sabor natural a cerdo y/o pollo (hidrolizado de subproductos de cerdo y/o pollo)</t>
  </si>
  <si>
    <t>Sabor natural a cerdo y/o pollo (hidrolizado de subproductos de cerdo y/o pollo)</t>
  </si>
  <si>
    <t>Cachorros entre 1 y 12 meses de edad, de razas medianas como Bulldog Francés, Beagle, Bretón, Cocker, Boxer, Schnauzer Standard y otras razas o perros mestizos que en su etapa adulta pesan entre 10 y 25 kg.</t>
  </si>
  <si>
    <t>Harina de subproductos de pollo; Producto de huevo seco; Grasa de pollo; Aceite de pescado; Harina de maíz; Trigo integral molido; Arroz de cervecería; Pulpa de remolacha seca; Fosfato dicálcico; Sabor natural a cerdo y/o pollo</t>
  </si>
  <si>
    <t>Harina de maíz; Trigo integral molido; Arroz de cervecería; Pulpa de remolacha seca</t>
  </si>
  <si>
    <t>Fosfato dicálcico; Sabor natural a cerdo y/o pollo (hidrolizado de hígado de cerdo y/o pollo)</t>
  </si>
  <si>
    <t>Vitalcan Balanced Equilibrio Saludable</t>
  </si>
  <si>
    <t>Gatos Adultos</t>
  </si>
  <si>
    <t>Harina de pollo; Gluten de maíz; Harina de soja micronizada; Hidrolizado proteico de pollo; Aceite de pollo; Aceite de pescado; Arroz; Maíz; Trigo; Pulpa de remolacha</t>
  </si>
  <si>
    <t>Harina de pollo; Gluten de maíz; Harina de soja micronizada; Hidrolizado proteico de pollo</t>
  </si>
  <si>
    <t>Arroz; Maíz; Trigo; Pulpa de remolacha (fuente de FOS)</t>
  </si>
  <si>
    <t>Gatos adultos de 1 a 7 años</t>
  </si>
  <si>
    <t>Proteínas de ave deshidratadas; Proteínas de cerdo deshidratadas; Hidrolizado de proteínas animales; Gluten de maíz; Grasas animales; Arroz; Trigo; Maíz; Fibras vegetales; Harina de trigo</t>
  </si>
  <si>
    <t>Proteínas de ave deshidratadas; Proteínas de cerdo deshidratadas; Hidrolizado de proteínas animales; Gluten de maíz</t>
  </si>
  <si>
    <t>Arroz; Trigo; Maíz; Fibras vegetales; Harina de trigo</t>
  </si>
  <si>
    <t>Gatos Esterilizados</t>
  </si>
  <si>
    <t>Proteínas de ave deshidratadas; Aislado de proteínas vegetales; Hidrolizado de proteínas animales; Gluten de maíz; Grasas animales; Maíz; Fibras vegetales; Arroz; Trigo; Pulpa de remolacha</t>
  </si>
  <si>
    <t>Proteínas de ave deshidratadas; Aislado de proteínas vegetales; Hidrolizado de proteínas animales; Gluten de maíz</t>
  </si>
  <si>
    <t>Maíz; Fibras vegetales; Arroz; Trigo; Pulpa de remolacha</t>
  </si>
  <si>
    <t>Taste of the wild</t>
  </si>
  <si>
    <t>Trucha; Harina de pescado oceánico; Proteína de guisantes; Proteína de patata; Salmón ahumado; Aceite de canola; Boniatos; Patata; Cloruro de potasio; Minerales</t>
  </si>
  <si>
    <t>Trucha; Harina de pescado oceánico; Proteína de guisantes; Proteína de patata; Salmón ahumado</t>
  </si>
  <si>
    <t>Boniatos; Patata</t>
  </si>
  <si>
    <t>Cloruro de potasio; Minerales</t>
  </si>
  <si>
    <t>Harina de pollo; Guisantes; Proteína de guisantes; Proteína de patata; Ciervo asado; Salmón ahumado; Harina de pescado oceánico; Grasa de pollo; Boniatos; Cloruro de potasio</t>
  </si>
  <si>
    <t>Harina de pollo; Guisantes; Proteína de guisantes; Proteína de patata; Ciervo asado; Salmón ahumado; Harina de pescado oceánico</t>
  </si>
  <si>
    <t>Boniatos</t>
  </si>
  <si>
    <t>Ownat Classic+A46:L111</t>
  </si>
  <si>
    <t>Cotecnica- Mecpets</t>
  </si>
  <si>
    <t>Gatos Esterilizados y Control Peso</t>
  </si>
  <si>
    <t>Carnes deshidratadas; Pollo fresco; Guisantes enteros; Proteína de maíz; Hidrolizado de salmón; Grasa de pollo; Cebada integral; Maíz integral; Trigo integral; Arroz integral; Levadura de cerveza</t>
  </si>
  <si>
    <t>Carnes deshidratadas; Pollo fresco; Guisantes enteros; Proteína de maíz; Hidrolizado de salmón</t>
  </si>
  <si>
    <t>Cebada integral; Maíz integral; Trigo integral; Arroz integral</t>
  </si>
  <si>
    <t>Ownat Classic Kitten</t>
  </si>
  <si>
    <t>Gatitos de 1 a 12 meses</t>
  </si>
  <si>
    <t>Carnes deshidratadas; Pollo fresco; Proteína de maíz; Guisantes enteros; Pescado deshidratado; Proteína hidrolizada de pollo; Grasa de pollo; Arroz integral; Cebada integral; Maíz integral; Levadura de cerveza</t>
  </si>
  <si>
    <t>Carnes deshidratadas; Pollo fresco; Proteína de maíz; Guisantes enteros; Pescado deshidratado; Proteína hidrolizada de pollo</t>
  </si>
  <si>
    <t>Arroz integral; Cebada integral; Maíz integral</t>
  </si>
  <si>
    <t>Gatos adultos</t>
  </si>
  <si>
    <t>Harina de salmón; Harina de pollo; Harina de arveja; Huevo en polvo; Harina de calamar; Harina de pescado; Aceite de pollo; Almidón de yuca; Pulpa de remolacha; Cloruro de potasio</t>
  </si>
  <si>
    <t>Gatos Urinary</t>
  </si>
  <si>
    <t>Harina de pollo; Harina de salmón; Harina de pescado; Plasma bovino; Harina de calamar; Hidrolizado de pollo y cerdo; Extracto de proteína de coproductos de caña de azúcar; Aceite de pollo; Aceite de pescado; Almidón de yuca</t>
  </si>
  <si>
    <t>Harina de pollo; Harina de salmón; Harina de pescado; Plasma bovino; Harina de calamar; Hidrolizado de pollo y cerdo; Extracto de proteína de coproductos de caña de azúcar</t>
  </si>
  <si>
    <t>Earthborn</t>
  </si>
  <si>
    <t>Harina de pollo; Arvejas; Almidón de arveja; Huevo deshidratado; Semilla de linaza; Batata (camote); Tapioca; Fibra de arveja; Zapallo; Levadura deshidratada</t>
  </si>
  <si>
    <t>Harina de pollo; Arvejas; Almidón de arveja; Huevo deshidratado</t>
  </si>
  <si>
    <t>Semilla de linaza</t>
  </si>
  <si>
    <t>Batata (camote); Tapioca; Fibra de arveja; Zapallo</t>
  </si>
  <si>
    <t>Levadura deshidratada</t>
  </si>
  <si>
    <t>Ownat Grain Free Junior</t>
  </si>
  <si>
    <t>Cachorros (de 2-3 meses hasta el final de la fase de crecimiento) con sensibilidad o intolerancia relacionada con el pollo</t>
  </si>
  <si>
    <t>Cordero fresco; Carne de cerdo deshidratada; Guisantes enteros; Cordero deshidratado; Pescado deshidratado; Grasa animal; Raíces de yuca; Patata deshidratada; Vainas de algarroba; Levadura de cerveza</t>
  </si>
  <si>
    <t>Cordero fresco; Carne de cerdo deshidratada; Guisantes enteros; Cordero deshidratado; Pescado deshidratado</t>
  </si>
  <si>
    <t>Raíces de yuca; Patata deshidratada; Vainas de algarroba</t>
  </si>
  <si>
    <t>Ownat Grain Free</t>
  </si>
  <si>
    <t>Perros de todas las razas con sensibilidades digestivas</t>
  </si>
  <si>
    <t>Pescado azul fresco; Pollo deshidratado; Hidrolizado de salmón; Guisantes enteros; Salmón deshidratado; Proteína hidrolizada de pollo; Grasa avícola; Raíces de mandioca; Vaina de algarroba; Patata deshidratada</t>
  </si>
  <si>
    <t>Pescado azul fresco; Pollo deshidratado; Hidrolizado de salmón; Guisantes enteros; Salmón deshidratado; Proteína hidrolizada de pollo</t>
  </si>
  <si>
    <t>Grasa avícola</t>
  </si>
  <si>
    <t>Raíces de mandioca; Vaina de algarroba; Patata deshidratada</t>
  </si>
  <si>
    <t>Nutrique Senior 6+ Large</t>
  </si>
  <si>
    <t>Nutrique</t>
  </si>
  <si>
    <t>Perros Razas Grandes</t>
  </si>
  <si>
    <t>Harina de pavo; Arvejas secas; Huevo en polvo; Hidrolizado de hígado porcino deshidratado; Aceite de pollo; Semillas de chía; Arroz; Arroz integral; Cebada; Pulpa de remolacha</t>
  </si>
  <si>
    <t>Harina de pavo; Arvejas secas; Huevo en polvo; Hidrolizado de hígado porcino deshidratado</t>
  </si>
  <si>
    <t>Aceite de pollo; Semillas de chía</t>
  </si>
  <si>
    <t>Arroz; Arroz integral; Cebada; Pulpa de remolacha</t>
  </si>
  <si>
    <t>Royal Canin SHIH TZU puppy</t>
  </si>
  <si>
    <t>Cachorro SHIH TZU Hata los 10 meses de edad</t>
  </si>
  <si>
    <t>Proteínas de ave deshidratadas; Aislado de proteínas vegetales; Hidrolizado de proteínas animales; Grasas animales; Aceite de pescado; Aceite de soja; Arroz; Maíz; Pulpa de remolacha; Minerales</t>
  </si>
  <si>
    <t>Proteínas de ave deshidratadas; Aislado de proteínas vegetales; Hidrolizado de proteínas animales</t>
  </si>
  <si>
    <t>Royal Canin Medium Adult 7+</t>
  </si>
  <si>
    <t>Perros mayores de 7 años</t>
  </si>
  <si>
    <t>Proteínas de ave deshidratadas; Gluten de trigo; Proteínas animales hidrolizadas; Grasas animales; Harina de trigo; Harina de maíz; Maíz; Arroz; Trigo; Pulpa de remolacha</t>
  </si>
  <si>
    <t>Proteínas de ave deshidratadas; Gluten de trigo; Proteínas animales hidrolizadas</t>
  </si>
  <si>
    <t>Harina de trigo; Harina de maíz; Maíz; Arroz; Trigo; Pulpa de remolacha</t>
  </si>
  <si>
    <t>Royal Canin DERMACOMFORT Medium</t>
  </si>
  <si>
    <t>Para perros Mini adulto</t>
  </si>
  <si>
    <t>Aislado de proteínas vegetales; Gluten de maíz; Hidrolizado de proteínas animales; Grasas animales; Aceite de soja; Arroz; Trigo; Avena descascarillada; Maíz; Minerales</t>
  </si>
  <si>
    <t>Aislado de proteínas vegetales; Gluten de maíz; Hidrolizado de proteínas animales</t>
  </si>
  <si>
    <t>Grasas animales; Aceite de soja</t>
  </si>
  <si>
    <t>Arroz; Trigo; Avena descascarillada; Maíz</t>
  </si>
  <si>
    <t>Royal Canin Adulto Chihuahua</t>
  </si>
  <si>
    <t>Adulto Chihuahua</t>
  </si>
  <si>
    <t>Proteína de carne de ave deshidratada; Gluten de trigo; Proteína animal hidrolizada; Grasas animales; Aceite de pescado; Aceite de soja; Arroz; Maíz; Pulpa de remolacha; Sales minerales</t>
  </si>
  <si>
    <t>Proteína de carne de ave deshidratada; Gluten de trigo; Proteína animal hidrolizada</t>
  </si>
  <si>
    <t>PremieR Nutrición Clínica</t>
  </si>
  <si>
    <t>PremieRPet</t>
  </si>
  <si>
    <t>Perros Pequeños Renal</t>
  </si>
  <si>
    <t>Harina de vísceras de pollo; Huevo en polvo; Proteína aislada de soja; Grasa de cerdo; Grasa de pollo; Aceite de pescado; Maíz; Arroz; Pulpa de remolacha; Goma acacia</t>
  </si>
  <si>
    <t>Harina de vísceras de pollo; Huevo en polvo; Proteína aislada de soja</t>
  </si>
  <si>
    <t>Grasa de cerdo; Grasa de pollo; Aceite de pescado</t>
  </si>
  <si>
    <t>Maíz; Arroz; Pulpa de remolacha; Goma acacia</t>
  </si>
  <si>
    <t>Nutrición Clínica Perros Pequeños Hipoalergénico</t>
  </si>
  <si>
    <t>Proteína hidrolizada de pollo; Grasa de cerdo; Grasa de pollo; Aceite de pescado; Harina de yuca; Pulpa de remolacha; Cloruro de sodio; Cloruro de potasio; Fosfato dicálcico; Levadura de caña de azúcar seca autolisada</t>
  </si>
  <si>
    <t>Proteína hidrolizada de pollo</t>
  </si>
  <si>
    <t>Harina de yuca; Pulpa de remolacha</t>
  </si>
  <si>
    <t>Cloruro de sodio; Cloruro de potasio; Fosfato dicálcico; Levadura de caña de azúcar seca autolisada</t>
  </si>
  <si>
    <t>Bosch Mini Adult</t>
  </si>
  <si>
    <t>Adultos de razas pequeñas (máx. 15 kg)</t>
  </si>
  <si>
    <t>Carne fresca de ave; Harina de carne de cordero; Harina de carne de ave; Gluten de maíz; Huevo entero deshidratado; Grasa animal; Arroz; Maíz; Mijo; Pulpa de remolacha</t>
  </si>
  <si>
    <t>Carne fresca de ave; Harina de carne de cordero; Harina de carne de ave; Gluten de maíz; Huevo entero deshidratado</t>
  </si>
  <si>
    <t>Arroz; Maíz; Mijo; Pulpa de remolacha</t>
  </si>
  <si>
    <t>Bosch Mini Junior</t>
  </si>
  <si>
    <t>Cachorro Razas pequeñas (hasta 15 kg)</t>
  </si>
  <si>
    <t>Ave fresca; Proteínas de aves de corral secas; Hidrolizado de proteínas; Harina de pescado; Grasa de aves de corral; Semillas de linaza; Maíz; Arroz; Mijo; Pulpa de remolacha</t>
  </si>
  <si>
    <t>Ave fresca; Proteínas de aves de corral secas; Hidrolizado de proteínas; Harina de pescado</t>
  </si>
  <si>
    <t>Grasa de aves de corral; Semillas de linaza</t>
  </si>
  <si>
    <t>Maíz; Arroz; Mijo; Pulpa de remolacha</t>
  </si>
  <si>
    <t>Ultimates – Bayside Select</t>
  </si>
  <si>
    <t>PRO PAC</t>
  </si>
  <si>
    <t>Todas las etapas de la vida, incluyendo el crecimiento de perros de gran tamaño (70 lb/31,8 kg o más como adulto</t>
  </si>
  <si>
    <t>Harina de pescado blanco; Guisantes; Almidón de guisantes; Garbanzos; Aceite de canola; Linaza; Patatas; Batata; Fibra de guisantes; Sabor natural</t>
  </si>
  <si>
    <t>Harina de pescado blanco; Guisantes; Almidón de guisantes; Garbanzos</t>
  </si>
  <si>
    <t>Aceite de canola; Linaza</t>
  </si>
  <si>
    <t>Patatas; Batata; Fibra de guisantes</t>
  </si>
  <si>
    <t>Ultimates - Meadow Prime</t>
  </si>
  <si>
    <t>Harina de cordero; Guisantes; Garbanzos; Almidón de guisantes; Proteína de guisantes; Aceite de canola; Patatas; Batata; Fibra de guisantes; Sabor natural</t>
  </si>
  <si>
    <t>Harina de cordero; Guisantes; Garbanzos; Almidón de guisantes; Proteína de guisantes</t>
  </si>
  <si>
    <t>MV Dieta prescripta
 RENAL</t>
  </si>
  <si>
    <t>Holliday</t>
  </si>
  <si>
    <t>Adultos y gerontes todas las razas</t>
  </si>
  <si>
    <t>Harina de subproductos de pollo; Gluten de maíz; Huevo en polvo; Hidrolizado proteico de pollo; Aceite de pollo; Aceite de pescado; Arroz; Pulpa de remolacha; Cáscara de soja; Levadura de cerveza</t>
  </si>
  <si>
    <t>PremieR® Nutrición Clínica</t>
  </si>
  <si>
    <t>Gatos Adultos Urinario Estruvita</t>
  </si>
  <si>
    <t>Harina de vísceras de pollo; Harina de chicharrón de cerdo; Gluten de maíz; Plasma de cerdo en polvo; Proteína aislada de soja; Maíz; Trigo; Celulosa; Arroz; Pulpa de remolacha</t>
  </si>
  <si>
    <t>Harina de vísceras de pollo; Harina de chicharrón de cerdo; Gluten de maíz; Plasma de cerdo en polvo; Proteína aislada de soja</t>
  </si>
  <si>
    <t>Maíz; Trigo; Celulosa; Arroz; Pulpa de remolacha</t>
  </si>
  <si>
    <t>Nutrique Healthy Maintenance</t>
  </si>
  <si>
    <t>Gatos Adulto en peso ideal</t>
  </si>
  <si>
    <t>Harina de pavo; Hidrolizado de hígado porcino deshidratado; Arvejas secas; Aceite de pollo; Arroz; Cebada; Pulpa de remolacha; Avena; Celulosa en polvo; Coco deshidratado</t>
  </si>
  <si>
    <t>Sanabelle</t>
  </si>
  <si>
    <t>Bosch Tiernahrung GmbH</t>
  </si>
  <si>
    <t>Carne de ave fresca; Proteína de ave deshidratada; Trucha fresca; Hígado fresco; Harina de hígado; Hidrolizado de proteínas; Grasa animal; Arroz; Harina de arroz; Pulpa de remolacha deshidratada</t>
  </si>
  <si>
    <t>Carne de ave fresca; Proteína de ave deshidratada; Trucha fresca; Hígado fresco; Harina de hígado; Hidrolizado de proteínas</t>
  </si>
  <si>
    <t>Arroz; Harina de arroz; Pulpa de remolacha deshidratada</t>
  </si>
  <si>
    <t>Royal Canin Kitten Persian</t>
  </si>
  <si>
    <t>Gatitos de raza Persa (hasta los 12 meses de edad).</t>
  </si>
  <si>
    <t>Proteínas de ave de corral deshidratadas; Gluten de trigo; Proteínas animales hidrolizadas; Grasas animales; Arroz; Maíz; Fibras vegetales; Pulpa de remolacha; Productos de levaduras; Sustancias minerales</t>
  </si>
  <si>
    <t>Proteínas de ave de corral deshidratadas; Gluten de trigo; Proteínas animales hidrolizadas</t>
  </si>
  <si>
    <t>Productos de levaduras; Sustancias minerales</t>
  </si>
  <si>
    <t>Royal Canin Urinary S/O</t>
  </si>
  <si>
    <t>Alimento dietético completo para gatos</t>
  </si>
  <si>
    <t>Gluten de trigo; Proteínas de ave deshidratadas; Hidrolizado de proteínas animales; Gluten de maíz; Grasas animales; Aceite de pescado; Arroz; Harina de maíz; Fibras vegetales; Minerales</t>
  </si>
  <si>
    <t>Gluten de trigo; Proteínas de ave deshidratadas; Hidrolizado de proteínas animales; Gluten de maíz</t>
  </si>
  <si>
    <t>Arroz; Harina de maíz; Fibras vegetales</t>
  </si>
  <si>
    <t xml:space="preserve">Alcon Dog Food </t>
  </si>
  <si>
    <t>Agripac</t>
  </si>
  <si>
    <t xml:space="preserve">Canino </t>
  </si>
  <si>
    <t>Adultos Sabor A Pollo</t>
  </si>
  <si>
    <t>Maíz, Pasta de soya, Harinaa de pollo, Harina de trigo integra, Afrechillo de trigo, Arroz partido, Grasa de pollo, tractante saborizante, grasa bovina, afrecho de cerveza</t>
  </si>
  <si>
    <t>Pasta de soya; Harina de pollo</t>
  </si>
  <si>
    <t>Grasa de pollo; Grasa bovina</t>
  </si>
  <si>
    <t>Maíz; Harina de trigo integra; Afrechillo de trigo; Arroz partido; Afrecho de cerveza</t>
  </si>
  <si>
    <t>Tractante saborizante</t>
  </si>
  <si>
    <t>Harina de trigo integral, maíz, salvado de trigo, arroz partido, harina de pollo, aceite de pollo (Omega 3 y Omega 6), pasta de soya, levadura de cerveza, atractante - saborizante, bentonita</t>
  </si>
  <si>
    <t>Harina de pollo; Pasta de soya</t>
  </si>
  <si>
    <t>Harina de trigo integral; Maíz; Salvado de trigo; Arroz partido</t>
  </si>
  <si>
    <t>Levadura de cerveza; Atractante-saborizante; Bentonita</t>
  </si>
  <si>
    <t xml:space="preserve">Buen Can </t>
  </si>
  <si>
    <t>Adultos Razas medianas y grandes</t>
  </si>
  <si>
    <t>Maíz, trigo, pasta de soya, salvado de trigo, harina de pollo, aceite de pollo, arroz partido, palmiste, soya en grano, levadura de caña</t>
  </si>
  <si>
    <t>Pasta de soya; Harina de pollo; Soya en grano</t>
  </si>
  <si>
    <t>Maíz; Trigo; Salvado de trigo; Arroz partido</t>
  </si>
  <si>
    <t>Levadura de caña</t>
  </si>
  <si>
    <t>Buen Can</t>
  </si>
  <si>
    <t xml:space="preserve">Cachorros </t>
  </si>
  <si>
    <t>Maíz, pasta de soya, trigo, harina de pollo, afrechillo de trigo, aceite de pollo, soya en grano, arroz partido, atractante-saborizante, levadura de cerveza</t>
  </si>
  <si>
    <t>Maíz; Trigo; Afrechillo de trigo; Arroz partido</t>
  </si>
  <si>
    <t>Atractante-saborizante; Levadura de cerveza</t>
  </si>
  <si>
    <t>NutraPro</t>
  </si>
  <si>
    <t>Adulto razas pequeñas y miniaturas</t>
  </si>
  <si>
    <t>Harina de pollo, arroz, maíz, trigo y/o subproductos, núcleo nutra pro adultos (pulpa de remolacha, levadura de cerveza, huevo en polvo), premix vitamínico mineral (vitaminas A, D, E, K3, B1, B2, B6, B12, niacina, pantotenato de calcio, ácido fólico, vitamina C, hierro, zinc, manganeso, selenio, yodo, cobalto, cloruro de potasio, pirofosfato de sodio, antioxidante), gluten de maíz, hidrolizado de pollo y/o cerdo,  aceite de pollo, pigmento caramelo</t>
  </si>
  <si>
    <t>Harina de pollo; Huevo en polvo; Gluten de maíz; Hidrolizado de pollo y/o cerdo</t>
  </si>
  <si>
    <t>Arroz; Maíz; Trigo y/o subproductos; Pulpa de remolacha</t>
  </si>
  <si>
    <t>Núcleo Nutra Pro Adultos; Levadura de cerveza; Premix vitamínico mineral; Pigmento caramelo</t>
  </si>
  <si>
    <t>Adultos razas medianas y grandes</t>
  </si>
  <si>
    <t>Harina de pollo, arroz, trigo y/o subproductos, maíz, Núcleo Nutra Pro Adultos (pulpa de remolacha, levadura de cerveza, Saccharomyces cerevisiae, huevo en polvo), premix vitamínico mineral (vitaminas A, D, E, K3, B1, B2, B6, B12, niacina, pantotenato de calcio, ácido fólico, vitamina C, hierro, zinc, manganeso, selenio, yodo, cobalto, cloruro de potasio, pirofosfato de sodio, antioxidante), gluten de maíz, hidrolizado pollo y/o cerdo, aceite de pollo, pigmento caramelo</t>
  </si>
  <si>
    <t>Arroz; Trigo y/o subproductos; Maíz; Pulpa de remolacha</t>
  </si>
  <si>
    <t>Núcleo Nutra Pro Adultos; Levadura de cerveza; Saccharomyces cerevisiae; Premix vitamínico mineral; Pigmento caramelo</t>
  </si>
  <si>
    <t>Cachorros razas medianas y grandes</t>
  </si>
  <si>
    <t>Harina de pollo, arroz, maíz, núcleo nutra pro cachorros (pulpa de remolacha), levadura de cerveza,  huevo en polvo, premix vitamínico mineral (vitaminas A, D, E, K3, B1, B2, B6, B12, niacina, pantotenato de calcio, ácido fólico, vitamina C, hierro, zinc, manganeso, selenio, yodo, cobalto, cloruro de potasio, antioxidante), gluten de maíz, trigo y/o subproductos, aceite de pollo,</t>
  </si>
  <si>
    <t>Harina de pollo; Huevo en polvo; Gluten de maíz</t>
  </si>
  <si>
    <t>Núcleo Nutra Pro Cachorros; Levadura de cerveza; Premix vitamínico mineral</t>
  </si>
  <si>
    <t>Cachorros razas pequeñas y miniaturas</t>
  </si>
  <si>
    <t xml:space="preserve">Harina de pollo, maíz, arroz, gluten de maíz, núcleo nutra pro cachorros (pulpa de remolacha, levadura de cerveza, huevo en polvo), premix vitamínico mineral (vitaminas A, D, E, K3, B1, B2, B6, B12, niacina, pantotenato de calcio, ácido fólico, vitamina C, hierro, zinc, manganeso, selenio, yodo, cobalto, cloruro de potasio, antioxidante), trigo y/o subproductos, aceite de pollo, hidrolizado pollo y/o cerdo, leche en polvo, </t>
  </si>
  <si>
    <t>Harina de pollo; Huevo en polvo; Gluten de maíz; Hidrolizado pollo y/o cerdo; Leche en polvo</t>
  </si>
  <si>
    <t xml:space="preserve">Wellness super premium </t>
  </si>
  <si>
    <t xml:space="preserve">Adultos razas medianas y grandes </t>
  </si>
  <si>
    <t>Harina de salmón, harina de pollo, almidón de yuca, aceite de pollo, hidrolizado de pollo y cerdo, levadura de cerveza, aceite de pescado, extracto de proteína de coproductos de caña de azúcar, zeolita, plasma bovino.</t>
  </si>
  <si>
    <t>Harina de salmón; Harina de pollo; Hidrolizado de pollo y cerdo; Extracto de proteína de coproductos de caña de azúcar; Plasma bovino</t>
  </si>
  <si>
    <t>Levadura de cerveza; Zeolita</t>
  </si>
  <si>
    <t>Adultos razas pequeñas y medianas</t>
  </si>
  <si>
    <t>Cachorros Razas Medianas y Grandes</t>
  </si>
  <si>
    <t xml:space="preserve">Harina de salmón, harina de pollo, almidón de yuca, aceite de pollo, hidrolizado de pollo y cerdo,
levadura de cerveza, aceite de pescado, extracto de proteína de coproductos de caña de azúcar, zeolita,plasma bovino
</t>
  </si>
  <si>
    <t>Harina de pollo,arroz,gluten de maiz, Nucleo Nutra Pro Opticat Gatos(Pulpa de remolacha, Levadura de cerveza, Semilla de trigo o carbonato de calcio, Celulosa, Bisulfato de sodio</t>
  </si>
  <si>
    <t>Harina de pollo; Gluten de maíz</t>
  </si>
  <si>
    <t>Arroz; Pulpa de remolacha; Celulosa</t>
  </si>
  <si>
    <t>Núcleo Nutra Pro Opticat Gatos; Levadura de cerveza; Semilla de trigo o carbonato de calcio; Bisulfato de sodio</t>
  </si>
  <si>
    <t>Cachorros</t>
  </si>
  <si>
    <t>Harina de pollo, arroz, salvado de trigo, pulpa de remolacha, maíz, aceite de pollo hidrolizado proteico, aceite de pescado de mar (fuente de ácidos grasos Omega 3 y 6) saborizante, levadura, taurina</t>
  </si>
  <si>
    <t>Harina de pollo; Hidrolizado proteico</t>
  </si>
  <si>
    <t>Arroz; Salvado de trigo; Pulpa de remolacha; Maíz</t>
  </si>
  <si>
    <t>Saborizante; Levadura; Taurina</t>
  </si>
  <si>
    <t>BalanCAT</t>
  </si>
  <si>
    <t>Arroz y/o subproductos, soya y/o subproductos, trigo y/o subproductos, harina de cerdo, aceite de pollo, maiz y/o subproductos, hidrolizado de pollo, levadura seca de cerveceria, NUCLEO Balancat (cloruro de sodio, lisina)</t>
  </si>
  <si>
    <t>Harina de cerdo; Hidrolizado de pollo; Soya y/o subproductos</t>
  </si>
  <si>
    <t>Arroz y/o subproductos; Trigo y/o subproductos; Maíz y/o subproductos</t>
  </si>
  <si>
    <t>Levadura seca de cervecería; Núcleo Balancat; Cloruro de sodio; Lisina</t>
  </si>
  <si>
    <t>NutraPro Gatitos y Gatos</t>
  </si>
  <si>
    <t>Cachorro/adulto</t>
  </si>
  <si>
    <t>Carne de pollo y salmón congelados, maíz, harina de subproductos de pollo, trigo, harina de gluten de maíz, Celulosa, Acidificante, Metionina,  Premezcla vitamínico-mineral</t>
  </si>
  <si>
    <t>Carne de pollo y salmón congelados; Harina de subproductos de pollo; Harina de gluten de maíz</t>
  </si>
  <si>
    <t>Maíz; Trigo; Celulosa</t>
  </si>
  <si>
    <t>Acidificante; Metionina; Premezcla vitamínico-mineral</t>
  </si>
  <si>
    <t>NutraPro Control Peso</t>
  </si>
  <si>
    <t>Esterilizado</t>
  </si>
  <si>
    <t>Carne de pollo y salmón congelados, maíz, harina de subproductos de pollo, trigo, harina de gluten de maíz, Levadura de cerveza, Excipiente, Celulosa, Acidificante, Metionina</t>
  </si>
  <si>
    <t>Levadura de cerveza; Excipiente; Acidificante; Metionina</t>
  </si>
  <si>
    <t>Arroz; Harina de maíz; Pulpa de remolacha</t>
  </si>
  <si>
    <t>Grasa vacuna y/o aceite de pollo</t>
  </si>
  <si>
    <t>Arroz; Maíz</t>
  </si>
  <si>
    <t>BalanCan</t>
  </si>
  <si>
    <t>Cani</t>
  </si>
  <si>
    <t>Bioalimentar</t>
  </si>
  <si>
    <t>Senior</t>
  </si>
  <si>
    <t>Harina de pollo (petgrade), maíz integral molido, arroz integral, coproductos de trigo, harina de trigo, soya integral extruida ,pasta de soya pulverizada, coproductos de cervecería, grasa animal estabilizada, aceite vegetal</t>
  </si>
  <si>
    <t>Harina de pollo (petgrade); Soya integral extruida; Pasta de soya pulverizada</t>
  </si>
  <si>
    <t>Grasa animal estabilizada; Aceite vegetal</t>
  </si>
  <si>
    <t>Maíz integral molido; Arroz integral; Coproductos de trigo; Harina de trigo; Coproductos de cervecería</t>
  </si>
  <si>
    <t xml:space="preserve">Cani super premium </t>
  </si>
  <si>
    <t>BioAlimentar</t>
  </si>
  <si>
    <t xml:space="preserve">Adultos razas pequeñas </t>
  </si>
  <si>
    <t xml:space="preserve">Harina de pollo (petgrade), arroz integral, maíz integral molido, coproductos de trigo, harina de trigo, soya integral extruída, pasta de soya pulverizada, coproductos de carvecería, grasa animal estabilizada, aceite vegetal </t>
  </si>
  <si>
    <t>Arroz integral; Maíz integral molido; Coproductos de trigo; Harina de trigo; Coproductos de cervecería</t>
  </si>
  <si>
    <t>Mambo</t>
  </si>
  <si>
    <t xml:space="preserve">Cachorro </t>
  </si>
  <si>
    <t>Maíz, harina de pollo, trigo, pasta de soya, DDGS, aceite vegetal, aceite de pollo, afrechillo de trigo, carbonato de calcio, pulpa de remolacha</t>
  </si>
  <si>
    <t>Aceite vegetal; Aceite de pollo</t>
  </si>
  <si>
    <t>Maíz; Trigo; DDGS; Afrechillo de trigo; Pulpa de remolacha</t>
  </si>
  <si>
    <t>Carbonato de calcio</t>
  </si>
  <si>
    <t>Pal Perro</t>
  </si>
  <si>
    <t>Trigo, harina de pollo, harina de pollo y/o cerdo, maíz, arroz, pasta de soya, subproductos de trigo, aceite y grasa de pollo, levadura de cerveza seca, pulpa de remolacha</t>
  </si>
  <si>
    <t>Harina de pollo; Harina de pollo y/o cerdo; Pasta de soya</t>
  </si>
  <si>
    <t>Aceite y grasa de pollo</t>
  </si>
  <si>
    <t>Trigo; Maíz; Arroz; Subproductos de trigo; Pulpa de remolacha</t>
  </si>
  <si>
    <t>Adulto/Esterilizado</t>
  </si>
  <si>
    <t>Harina de pollo, harina de atún, arroz, concentrado de soya, trigo, hidrolizado de proteínas vegetales y proteínas animales (pollo y/o cerdo), gluten de maíz, zanahoria deshidratada, pulpa de remolacha, levadura de cerveza</t>
  </si>
  <si>
    <t>Harina de pollo; Harina de atún; Concentrado de soya; Hidrolizado de proteínas vegetales y proteínas animales; Gluten de maíz</t>
  </si>
  <si>
    <t>Arroz; Trigo; Pulpa de remolacha</t>
  </si>
  <si>
    <t>Zanahoria deshidratada; Levadura de cerveza</t>
  </si>
  <si>
    <t>Nutritec Premium</t>
  </si>
  <si>
    <t>Harina de pollo, maíz grano entero, sorgo, harina de vísceras de ave, gluten de maíz, grasa de pollo (estabilizada con antioxidantes naturales), arroz, pulpa de remolacha, aceite de pescado (fuente de DHA y Omega-3), levadura de cerveza</t>
  </si>
  <si>
    <t>Harina de pollo; Harina de vísceras de ave; Gluten de maíz; Levadura de cerveza</t>
  </si>
  <si>
    <t>Maíz grano entero; Sorgo; Arroz; Pulpa de remolacha</t>
  </si>
  <si>
    <t>PAL Gato</t>
  </si>
  <si>
    <t>Maíz amarillo, harina de soya, arroz, gluten de maíz, harina de subproductos de pollo, grasa animal, harina de carne y hueso de res, hidrolizado de hígado de pollo y cerdo, pulpa de remolacha, sal,</t>
  </si>
  <si>
    <t>Harina de soya; Gluten de maíz; Harina de subproductos de pollo; Harina de carne y hueso de res; Hidrolizado de hígado de pollo y cerdo</t>
  </si>
  <si>
    <t>Maíz amarillo; Arroz; Pulpa de remolacha</t>
  </si>
  <si>
    <t xml:space="preserve">Nutritec </t>
  </si>
  <si>
    <t>Taste of the Wild</t>
  </si>
  <si>
    <t>Diamond Pet Foods</t>
  </si>
  <si>
    <t xml:space="preserve">Adulto </t>
  </si>
  <si>
    <t>pato, harina de pato, harina de pollo, batatas, guisantes, papas, grasa de pollo, producto de huevo, pato asado, harina de pescado oceánico.</t>
  </si>
  <si>
    <t>Pato; Harina de pato; Harina de pollo; Producto de huevo; Pato asado; Harina de pescado oceánico; Guisantes</t>
  </si>
  <si>
    <t>Batatas; Papas</t>
  </si>
  <si>
    <t>Taste of the Wild Wetlands Canine Recipe Con Pato Asado Adulto Razas Medianas y Grandes</t>
  </si>
  <si>
    <t>Pato, Harina de pato, Harina de pollo, Camote, Chicharro, papas, grasa de pollo (preservada con tocoferoles mixtos), productos de huevo de gallina, saborizante natural (pollo), harina de pescado.</t>
  </si>
  <si>
    <t>Pato; Harina de pato; Harina de pollo; Chícharo; Productos de huevo de gallina; Harina de pescado</t>
  </si>
  <si>
    <t>Camote; Papas</t>
  </si>
  <si>
    <t>Saborizante natural (pollo)</t>
  </si>
  <si>
    <t>Taste of the Wild Rocky Mountain Feline</t>
  </si>
  <si>
    <t>Harina de pollo, guisantes, boniatos/camotes, grasa de pollo, proteína de guisante, proteína de patata, venado asado, salmón ahumado, harina de pescado oceánico, cloruro de potasio</t>
  </si>
  <si>
    <t>Harina de pollo; Guisantes; Proteína de guisante; Proteína de patata; Venado asado; Salmón ahumado; Harina de pescado oceánico</t>
  </si>
  <si>
    <t>Boniatos/Camotes</t>
  </si>
  <si>
    <t xml:space="preserve">Harina de subproductos de pollo, arroz, maíz, grasa animal , trigo, aceite de pescado, pulpa de remolacha, proteínas de ave deshidratadas, proteína vegetales aisladas, hidrolizado de proteínas animales, minerales. </t>
  </si>
  <si>
    <t>Harina de subproductos de pollo; Proteínas de ave deshidratadas; Proteínas vegetales aisladas; Hidrolizado de proteínas animales</t>
  </si>
  <si>
    <t>Grasa animal; Aceite de pescado</t>
  </si>
  <si>
    <t>Arroz; Maíz; Trigo; Pulpa de remolacha</t>
  </si>
  <si>
    <t>Sémola de arroz, maíz integral molido, harina de despojos de ave, harina de chicharrones, fibra de soja, harina de trigo, grasa de pollo, grasa de cerdo, pulpa de remolacha, aceite de soja refinado</t>
  </si>
  <si>
    <t>Harina de despojos de ave; Harina de chicharrones; Fibra de soya</t>
  </si>
  <si>
    <t>Grasa de pollo; Grasa de cerdo; Aceite de soja refinado</t>
  </si>
  <si>
    <t>Sémola de arroz; Maíz integral molido; Harina de trigo; Trigo; Pulpa de remolacha</t>
  </si>
  <si>
    <t>adulto/esterilizado</t>
  </si>
  <si>
    <t>Arroz, proteínas de ave deshidratadas, maíz, gluten de trigo, gluten de maíz, grasas animales, fibras vegetales, hidrolizado de proteínas animales, pulpa de remolacha, minerales</t>
  </si>
  <si>
    <t>Proteínas de aves deshidratadas; Gluten de trigo; Gluten de maíz; Hidrolizado de proteínas animales</t>
  </si>
  <si>
    <t>Arroz, proteínas de ave deshidratadas, gluten de trigo, harina de maíz, grasas animales, proteínas animales hidrolizadas, pulpa de remolacha, minerales, sulfato de calcio, DL-metionina</t>
  </si>
  <si>
    <t>Proteínas de aves deshidratadas; Gluten de trigo; Proteínas animales hidrolizadas</t>
  </si>
  <si>
    <t>Minerales; Sulfato de calcio; DL-metionina</t>
  </si>
  <si>
    <t>Arroz, proteínas de ave deshidratadas, gluten de trigo, harina de maíz, grasas animales, aislado de proteínas vegetales, pulpa de remolacha, aceite de pescado, minerales, fructooligosacáridos</t>
  </si>
  <si>
    <t>Proteínas de aves deshidratadas; Gluten de trigo; Aislado de proteínas vegetales</t>
  </si>
  <si>
    <t>Arroz; Harina de maíz; Pulpa de remolacha; Fructooligosacáridos (FOS)</t>
  </si>
  <si>
    <t>Harina de subproductos de pollo, gluten de maíz, cebada, hidrolizado de proteína de soja purificada, fibras vegetales, grasa de ave, hidrolizado de hígado de ave, pulpa de remolacha, arroz, granos de psyllium</t>
  </si>
  <si>
    <t>Harina de subproductos de pollo; Gluten de maíz; Hidrolizado de proteína de soya purificada; Hidrolizado de hígado de ave</t>
  </si>
  <si>
    <t>Grasa de ave</t>
  </si>
  <si>
    <t>Cebada; Fibras vegetales; Pulpa de remolacha; Arroz; Granos de psyllium</t>
  </si>
  <si>
    <t>Harina de subproductos de pollo, gluten de maíz, cebada, proteína de soja purificada, fibras vegetales, grasa de ave, hidrolizad hígado de ave, pulpa de remolacha, arroz, granos de psyllium</t>
  </si>
  <si>
    <t>Harina de subproductos de pollo; Gluten de maíz; Proteína de soya purificada; Hidrolizado de hígado de ave</t>
  </si>
  <si>
    <t>Cachorros (4–12 meses)</t>
  </si>
  <si>
    <t xml:space="preserve">Arroz cervecero,Grasa de pollo,Gluten de trigo,Saborizantes naturales / proteínas animales hidrolizadas,Maíz,Gluten de maíz,Huevo deshidratado,Pulpa de remolacha seca </t>
  </si>
  <si>
    <t>Gluten de trigo; Proteínas animales hidrolizadas; Gluten de maíz; Huevo deshidratado</t>
  </si>
  <si>
    <t>Arroz cervecero; Maíz; Pulpa de remolacha seca</t>
  </si>
  <si>
    <t>Saborizantes naturales</t>
  </si>
  <si>
    <t>Proteína de ave deshidratada, maíz, harina de maíz, trigo, grasa animal, aislado de proteínas vegetales, hidrolizado de proteínas animales, pulpa de remolacha, minerales, aceite de pescado</t>
  </si>
  <si>
    <t>Proteína de ave deshidratada; Aislado de proteínas vegetales; Hidrolizado de proteínas animales</t>
  </si>
  <si>
    <t>Maíz; Harina de maíz; Trigo; Pulpa de remolacha</t>
  </si>
  <si>
    <t xml:space="preserve">Proteína de ave deshidratada ,gluten de trigo , Maíz,Fibras vegetales,Arroz,Grasas animales,Proteínas animales hidrolizadas,Trigo,Harina de maíz,Gluten de maíz </t>
  </si>
  <si>
    <t>Proteína de ave deshidratada; Gluten de trigo; Proteínas animales hidrolizadas; Gluten de maíz</t>
  </si>
  <si>
    <t>Maíz; Fibras vegetales; Arroz; Trigo; Harina de maíz</t>
  </si>
  <si>
    <t>Adulto  Indoor</t>
  </si>
  <si>
    <t>Adultos Urinary S/O</t>
  </si>
  <si>
    <t>Cachorro/esterilizado</t>
  </si>
  <si>
    <t xml:space="preserve">Adultos Diabetic </t>
  </si>
  <si>
    <t>Adulto Hairball</t>
  </si>
  <si>
    <t>Pro Plan Reduced Calorie</t>
  </si>
  <si>
    <t xml:space="preserve">Pro Plan </t>
  </si>
  <si>
    <t xml:space="preserve">Nestlé Purina </t>
  </si>
  <si>
    <t>Adulto razas grandes</t>
  </si>
  <si>
    <t>Carne de pollo congelada, maíz, harina de subproductos de pollo, trigo, arroz, gluten de maíz, aceite de pollo y/o grasa vacuna preservadados con tocoferoles (fuente de vitamina E), hidrolizado (polvo y/o liquido) a base de subproducctos de pollo y/o cerdo,sal, carbonato y/ofosfato cálcico</t>
  </si>
  <si>
    <t>Carne de pollo congelada; Harina de subproductos de pollo; Gluten de maíz; Hidrolizado a base de subproductos de pollo y/o cerdo</t>
  </si>
  <si>
    <t>Maíz; Trigo; Arroz</t>
  </si>
  <si>
    <t>Sal; Carbonato y/o fosfato bicálcico</t>
  </si>
  <si>
    <t>Adulto razas pequeñas</t>
  </si>
  <si>
    <t>Carne de Pollo, Arroz, Harina de Subproductos de Pollo, Maíz, Harina de Gluten de Maíz, Grasa Vacuna y/o Aceite de Pollo Preservados con Tocoferoles Mezaclados (fuente de vitamina E), Trigo, Digesto Animal (A Base de Subproductos de Pollo y/o Porcino),Carbonato de Calcio y/o Fosfato Bicalcico, Cloruro de Potasio</t>
  </si>
  <si>
    <t>Carne de pollo; Harina de subproductos de pollo; Harina de gluten de maíz</t>
  </si>
  <si>
    <t>Arroz; Maíz; Trigo</t>
  </si>
  <si>
    <t>Digesto animal; Carbonato de calcio y/o fosfato bicálcico; Cloruro de potasio</t>
  </si>
  <si>
    <t>Pro Plan Veterinary Diets</t>
  </si>
  <si>
    <t>arroz cervecero, harina de maíz, grasa animal, harina de subproductos de ave, harina de soya, digest animal, aceite de pescado, pulpa de remolacha seca, vitaminas, minerales.</t>
  </si>
  <si>
    <t>Harina de subproductos de ave; Harina de soya</t>
  </si>
  <si>
    <t>Arroz cervecero; Harina de maíz; Pulpa de remolacha seca</t>
  </si>
  <si>
    <t>Digesto animal; Vitaminas; Minerales</t>
  </si>
  <si>
    <t>Pro Pac</t>
  </si>
  <si>
    <t>Harina de pollo, arroz integral, guisantes, salvado de arroz, arroz, grasa de pollo, pulpa de remolacha deshidratada, linaza, sabores naturales, clorhidrato de glucosamina.</t>
  </si>
  <si>
    <t>Harina de pollo; Guisantes</t>
  </si>
  <si>
    <t>Grasa de pollo; Linaza</t>
  </si>
  <si>
    <t>Arroz integral; Salvado de arroz; Arroz; Pulpa de remolacha deshidratada</t>
  </si>
  <si>
    <t>Sabores naturales; Clorhidrato de glucosamina</t>
  </si>
  <si>
    <t>Pro Pac Ultimate Lamb Meal &amp; Rice</t>
  </si>
  <si>
    <t>Harina de cordero, arroz cervecero, cebada, grasa de pollo, pulpa de remolacha seca, harina de pescado oceánico, linaza, avena, levadura seca de cerveza, sabor natural.</t>
  </si>
  <si>
    <t>Harina de cordero; Harina de pescado oceánico</t>
  </si>
  <si>
    <t>Arroz cervecero; Cebada; Pulpa de remolacha seca; Avena</t>
  </si>
  <si>
    <t>Levadura seca de cerveza; Sabor natural</t>
  </si>
  <si>
    <t>Pro Pac Ultimate Puppy Chicken Meal</t>
  </si>
  <si>
    <t>Cachorro</t>
  </si>
  <si>
    <t>Harina de pollo, arroz cervecero, cebada, grasa de pollo, pulpa de remolacha seca, harina de pescado oceánico, linaza, avena, levadura seca de cerveza, sabor natural.</t>
  </si>
  <si>
    <t>Harina de pollo; Harina de pescado oceánico</t>
  </si>
  <si>
    <t>Carne de pollo congelada, maíz, harina de subproductos de pollo, trigo, arroz, gluten de maiz, aceite de pollo hidrolizado a base de subproductos de pollo, sal, carbonato o fosfato calcico</t>
  </si>
  <si>
    <t>Carne de pollo congelada; Harina de subproductos de pollo; Gluten de maíz; Hidrolizado a base de subproductos de pollo</t>
  </si>
  <si>
    <t>Sal; Carbonato o fosfato cálcico</t>
  </si>
  <si>
    <t>Harina de subproductos de pollo, arroz, carne de salmón, harina de soja, gluten de maíz, fibra de soja, gluten de trigo, harina de pescado y/o harina de alga (Schizochytrium sp.), aceite de pollo y/o grasa vacuna preservados con tocoferoles</t>
  </si>
  <si>
    <t>Harina de subproductos de pollo; Carne de salmón; Harina de soja; Gluten de maíz; Harina de pescado y/o harina de alga (Schizochytrium sp.)</t>
  </si>
  <si>
    <t>Arroz; Fibra de soja</t>
  </si>
  <si>
    <t>Pro Plan Kitten</t>
  </si>
  <si>
    <t>Carne de pollo, harina de subproductos de pollo, gluten de maíz, arroz, maíz, aceite de pollo y/o grasa vacuna preservados con tocoferoles (fuente de vitamina E), gluten de trigo, hidrolizado a base de subproductos de pollo y/o cerdo,  harina de pescado y/o harina de alga (Schizochytrium sp.)</t>
  </si>
  <si>
    <t>Carne de pollo; Harina de subproductos de pollo; Gluten de trigo; Harina de pescado y/o harina de alga (Schizochytrium sp.); Hidrolizado a base de subproductos de pollo y/o cerdo</t>
  </si>
  <si>
    <t>Maíz, harina de trigo, proteína de ave deshidratada, arroz, grasa de cerdo, harina de proteínas de maíz, subproducto aromatizante, pulpa de remolacha deshidratada, huevo deshidratado,</t>
  </si>
  <si>
    <t>Proteína de ave deshidratada; Harina de proteínas de maíz; Huevo deshidratado</t>
  </si>
  <si>
    <t>Grasa de cerdo</t>
  </si>
  <si>
    <t>Maíz; Harina de trigo; Arroz; Pulpa de remolacha deshidratada</t>
  </si>
  <si>
    <t>Subproducto aromatizante</t>
  </si>
  <si>
    <t>Pollo, arroz, gluten de maíz, harina de subproductos de pollo, maíz, grasa animal, harina de pescado, fibra vegetal, minerales, vitaminas</t>
  </si>
  <si>
    <t>Pollo; Gluten de maíz; Harina de subproductos de pollo; Harina de pescado</t>
  </si>
  <si>
    <t>Arroz; Maíz; Fibra vegetal</t>
  </si>
  <si>
    <t>Minerales; Vitaminas</t>
  </si>
  <si>
    <t>Pro Cat Chow Urinary</t>
  </si>
  <si>
    <t>Harina de gluten de maíz, proteínas de ave deshidratadas (15%, de las cuales 50% pollo), arroz, harina de trigo, maíz, grasa animal, sustancias minerales, huevo deshidratado, pulpa de remolacha deshidratada, subproducto aromatizante</t>
  </si>
  <si>
    <t>Harina de gluten de maíz; Proteínas de ave deshidratadas; Huevo deshidratado</t>
  </si>
  <si>
    <t>Arroz; Harina de trigo; Maíz; Pulpa de remolacha deshidratada</t>
  </si>
  <si>
    <t>Sustancias minerales; Subproducto aromatizante</t>
  </si>
  <si>
    <t>Pro Cat Chow Hairball</t>
  </si>
  <si>
    <t>Harina de subproductos de pollo, maíz inetgral, harina de soya, trigo integral, gluten de maíz, arroz, grasa bovina conservada con tocoferoles pollo, celulosa en polvo, saborizante de hígado</t>
  </si>
  <si>
    <t>Harina de subproductos de pollo; Harina de soya; Gluten de maíz</t>
  </si>
  <si>
    <t>Grasa bovina conservada con tocoferoles</t>
  </si>
  <si>
    <t>Maíz integral; Trigo integral; Arroz; Celulosa en polvo</t>
  </si>
  <si>
    <t>Saborizante de hígado</t>
  </si>
  <si>
    <t>Pro Cat Chow Sensitive</t>
  </si>
  <si>
    <t>Cereales integrales, carnes y subproductos animales, aceites y grasas, pescado y subproductos de pescado (salmón), extractos de proteínas vegetales, subproductos de origen vegetal, verduras (raíz de achicoria), zabahoria deshidratada, guisantes/ vegetales deshidratados, sustancias minerales.</t>
  </si>
  <si>
    <t>Carnes y subproductos animales; Pescado y subproductos de pescado (salmón); Extractos de proteínas vegetales; Guisantes</t>
  </si>
  <si>
    <t>Aceites y grasas</t>
  </si>
  <si>
    <t>Cereales integrales; Subproductos de origen vegetal; Raíz de achicoria; Zanahoria deshidratada; Vegetales deshidratados</t>
  </si>
  <si>
    <t>Sustancias minerales</t>
  </si>
  <si>
    <t>Adulto Razas Medianas</t>
  </si>
  <si>
    <t>Adultos Urinary</t>
  </si>
  <si>
    <t>Chucho Adulto Todas las Razas</t>
  </si>
  <si>
    <t>maiz, harina de carne, subproducto de pollo o visceras, harina de soya, harina de gluten de maiz, grasa animal, digesto animal, afrechillo de maiz, carbonato de calcio, sal y premezcla de vitaminas y minerales</t>
  </si>
  <si>
    <t>Harina de carne; Subproducto de pollo o vísceras; Harina de soya; Harina de gluten de maíz</t>
  </si>
  <si>
    <t>Maíz; Afrechillo de maíz</t>
  </si>
  <si>
    <t>Digesto animal; Carbonato de calcio; Sal; Premezcla de vitaminas y minerales</t>
  </si>
  <si>
    <t>Chunky Adulto</t>
  </si>
  <si>
    <t>Harina de carne y hueso, maíz amarillo, trigo molido, grasa animal estabilizada, arroz partido, harina de gluten de maíz, pulpa de remolacha seca, cloruro de sodio, vitaminas A-E-B12, sulfato de zinc</t>
  </si>
  <si>
    <t>Harina de carne y hueso; Harina de gluten de maíz</t>
  </si>
  <si>
    <t>Grasa animal estabilizada</t>
  </si>
  <si>
    <t>Maíz amarillo; Trigo molido; Arroz partido; Pulpa de remolacha seca</t>
  </si>
  <si>
    <t>Cloruro de sodio; Vitaminas A-E-B12; Sulfato de zinc</t>
  </si>
  <si>
    <t>Chunky Puppies</t>
  </si>
  <si>
    <t>Harina de pollo, maíz amarillo molido, arroz quebrado, grasa de pollo estabilizada, harina de soya, harina de pescado, pulpa de remolacha, fosfato dicálcico, vitaminas A-D-E, minerales quelados</t>
  </si>
  <si>
    <t>Harina de pollo; Harina de soya; Harina de pescado</t>
  </si>
  <si>
    <t>Grasa de pollo estabilizada</t>
  </si>
  <si>
    <t>Maíz amarillo molido; Arroz quebrado; Pulpa de remolacha</t>
  </si>
  <si>
    <t>Fosfato dicálcico; Vitaminas A-D-E; Minerales quelados</t>
  </si>
  <si>
    <t>Chucho Adultos</t>
  </si>
  <si>
    <t>Maíz,harina de pollo, coproductos de trigo, trigo, pasta de soya, coproductos de arroz, afrecho de malta, grasa de pollo (ácido linoleico - omega 3 y ácido linoleico - omega 6) y/o vegetal, harina de carne y hueso, levadura</t>
  </si>
  <si>
    <t>Harina de pollo; Pasta de soya; Harina de carne y hueso</t>
  </si>
  <si>
    <t>Grasa de pollo; Grasa vegetal</t>
  </si>
  <si>
    <t>Maíz; Trigo; Coproductos de trigo; Coproductos de arroz; Afrecho de malta</t>
  </si>
  <si>
    <t>Levadura</t>
  </si>
  <si>
    <t>Compa</t>
  </si>
  <si>
    <t>Maíz y derivados, trigo y derivados, harina de pollo, harina de visceras, soya y derivados, arroz y derivados, grasa animal y/o vegetal, fosfato de calcio, saborizante, carbonato de calcio</t>
  </si>
  <si>
    <t>Harina de pollo; Harina de vísceras; Soya y derivados</t>
  </si>
  <si>
    <t>Maíz y derivados; Trigo y derivados; Arroz y derivados</t>
  </si>
  <si>
    <t>Fosfato de calcio; Saborizante; Carbonato de calcio</t>
  </si>
  <si>
    <t>Compa Sabor a Pollo</t>
  </si>
  <si>
    <t>Adultos para todas las razas</t>
  </si>
  <si>
    <t>Maiz y derivados, harina de pollo, harina de Visceras, salvado de trigo, soya y derivados, arroz y derivados, grasa animal y/o vegetal, levadura de cerveza, saborizante (hidrolizado enzimático) , sal</t>
  </si>
  <si>
    <t>Maíz y derivados; Salvado de trigo; Arroz y derivados</t>
  </si>
  <si>
    <t>Levadura de cerveza; Saborizante (hidrolizado enzimático); Sal</t>
  </si>
  <si>
    <t>Exibal</t>
  </si>
  <si>
    <t>Italcol</t>
  </si>
  <si>
    <t>ME_manufacturer_kcal_kg</t>
  </si>
  <si>
    <t>manufacturer_g_day_dog_10kg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</si>
</sst>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 fontId="0" fillId="0" borderId="0" xfId="0" applyNumberFormat="1"/>
    <xf numFmtId="0" fontId="0" fillId="0" borderId="0" xfId="0" applyAlignment="1">
      <alignment horizontal="center"/>
    </xf>
    <xf numFmtId="0" fontId="0" fillId="0" borderId="0" xfId="0" applyAlignment="1">
      <alignment wrapText="1"/>
    </xf>
    <xf numFmtId="1" fontId="0" fillId="0" borderId="0" xfId="0" applyNumberFormat="1"/>
    <xf numFmtId="0" fontId="0" fillId="0" borderId="0" xfId="0" applyAlignment="1">
      <alignment vertical="center" wrapText="1"/>
    </xf>
    <xf numFmtId="16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604B-470B-423A-8831-67E616DB60F6}">
  <dimension ref="A1:W117"/>
  <sheetViews>
    <sheetView tabSelected="1" topLeftCell="J1" workbookViewId="0">
      <selection activeCell="Q2" sqref="Q2:Q117"/>
    </sheetView>
  </sheetViews>
  <sheetFormatPr baseColWidth="10" defaultRowHeight="15.05" x14ac:dyDescent="0.3"/>
  <cols>
    <col min="2" max="2" width="31.88671875" customWidth="1"/>
    <col min="3" max="3" width="13.6640625" customWidth="1"/>
    <col min="5" max="5" width="21.88671875" customWidth="1"/>
    <col min="6" max="18" width="11.5546875" style="1"/>
    <col min="19" max="19" width="23.88671875" customWidth="1"/>
    <col min="20" max="20" width="11" customWidth="1"/>
    <col min="21" max="21" width="20.109375" customWidth="1"/>
    <col min="22" max="22" width="12.77734375" customWidth="1"/>
    <col min="23" max="23" width="22" customWidth="1"/>
  </cols>
  <sheetData>
    <row r="1" spans="1:23" x14ac:dyDescent="0.3">
      <c r="A1" t="s">
        <v>0</v>
      </c>
      <c r="B1" t="s">
        <v>1</v>
      </c>
      <c r="C1" t="s">
        <v>2</v>
      </c>
      <c r="D1" t="s">
        <v>3</v>
      </c>
      <c r="E1" t="s">
        <v>4</v>
      </c>
      <c r="F1" s="1" t="s">
        <v>5</v>
      </c>
      <c r="G1" s="1" t="s">
        <v>6</v>
      </c>
      <c r="H1" s="1" t="s">
        <v>7</v>
      </c>
      <c r="I1" s="1" t="s">
        <v>8</v>
      </c>
      <c r="J1" s="1" t="s">
        <v>9</v>
      </c>
      <c r="K1" s="1" t="s">
        <v>10</v>
      </c>
      <c r="L1" s="1" t="s">
        <v>11</v>
      </c>
      <c r="M1" s="1" t="s">
        <v>12</v>
      </c>
      <c r="N1" s="1" t="s">
        <v>13</v>
      </c>
      <c r="O1" s="1" t="s">
        <v>14</v>
      </c>
      <c r="P1" t="s">
        <v>641</v>
      </c>
      <c r="Q1" t="s">
        <v>642</v>
      </c>
      <c r="R1" s="1" t="s">
        <v>15</v>
      </c>
      <c r="S1" s="2" t="s">
        <v>46</v>
      </c>
      <c r="T1" t="s">
        <v>16</v>
      </c>
      <c r="U1" t="s">
        <v>17</v>
      </c>
      <c r="V1" t="s">
        <v>18</v>
      </c>
      <c r="W1" t="s">
        <v>19</v>
      </c>
    </row>
    <row r="2" spans="1:23" ht="135.5" x14ac:dyDescent="0.3">
      <c r="A2">
        <v>1</v>
      </c>
      <c r="B2" t="s">
        <v>28</v>
      </c>
      <c r="C2" t="s">
        <v>29</v>
      </c>
      <c r="D2" t="s">
        <v>80</v>
      </c>
      <c r="E2" s="3" t="s">
        <v>81</v>
      </c>
      <c r="F2" s="6">
        <v>26</v>
      </c>
      <c r="G2" s="6">
        <v>10</v>
      </c>
      <c r="H2" s="6">
        <v>8</v>
      </c>
      <c r="I2" s="6">
        <v>10</v>
      </c>
      <c r="J2" s="6">
        <v>4</v>
      </c>
      <c r="K2" s="4">
        <f>100-(F2+G2+H2+I2+J2)</f>
        <v>42</v>
      </c>
      <c r="L2" s="4">
        <f>(100*J2)/(100-I2)</f>
        <v>4.4444444444444446</v>
      </c>
      <c r="M2" s="4">
        <f>(5.7*F2)+(9.4*G2)+(4.1*(K2+J2))</f>
        <v>430.8</v>
      </c>
      <c r="N2" s="4">
        <f>((91.2-(1.43*L2))*M2)/100</f>
        <v>365.50986666666671</v>
      </c>
      <c r="O2" s="4">
        <f>N2-(1.04*F2)</f>
        <v>338.46986666666669</v>
      </c>
      <c r="P2" s="4">
        <v>4000</v>
      </c>
      <c r="Q2" s="4">
        <v>185</v>
      </c>
      <c r="R2" s="4">
        <v>0</v>
      </c>
      <c r="S2" s="5" t="s">
        <v>82</v>
      </c>
      <c r="T2" s="5" t="s">
        <v>83</v>
      </c>
      <c r="U2" s="5" t="s">
        <v>54</v>
      </c>
      <c r="V2" s="5" t="s">
        <v>84</v>
      </c>
      <c r="W2" s="5" t="s">
        <v>51</v>
      </c>
    </row>
    <row r="3" spans="1:23" ht="135.5" x14ac:dyDescent="0.3">
      <c r="A3">
        <v>2</v>
      </c>
      <c r="B3" t="s">
        <v>28</v>
      </c>
      <c r="C3" t="s">
        <v>29</v>
      </c>
      <c r="D3" t="s">
        <v>80</v>
      </c>
      <c r="E3" s="3" t="s">
        <v>85</v>
      </c>
      <c r="F3" s="6">
        <v>25</v>
      </c>
      <c r="G3" s="6">
        <v>10</v>
      </c>
      <c r="H3" s="6">
        <v>8</v>
      </c>
      <c r="I3" s="6">
        <v>10</v>
      </c>
      <c r="J3" s="6">
        <v>4</v>
      </c>
      <c r="K3" s="4">
        <f t="shared" ref="K3:K58" si="0">100-(F3+G3+H3+I3+J3)</f>
        <v>43</v>
      </c>
      <c r="L3" s="4">
        <f t="shared" ref="L3:L58" si="1">(100*J3)/(100-I3)</f>
        <v>4.4444444444444446</v>
      </c>
      <c r="M3" s="4">
        <f t="shared" ref="M3:M58" si="2">(5.7*F3)+(9.4*G3)+(4.1*(K3+J3))</f>
        <v>429.2</v>
      </c>
      <c r="N3" s="4">
        <f t="shared" ref="N3:N58" si="3">((91.2-(1.43*L3))*M3)/100</f>
        <v>364.15235555555557</v>
      </c>
      <c r="O3" s="4">
        <f t="shared" ref="O3:O66" si="4">N3-(1.04*F3)</f>
        <v>338.15235555555557</v>
      </c>
      <c r="P3" s="4">
        <v>4000</v>
      </c>
      <c r="Q3" s="4">
        <v>185</v>
      </c>
      <c r="R3" s="4">
        <v>0</v>
      </c>
      <c r="S3" s="5" t="s">
        <v>82</v>
      </c>
      <c r="T3" s="5" t="s">
        <v>83</v>
      </c>
      <c r="U3" s="5" t="s">
        <v>54</v>
      </c>
      <c r="V3" s="5" t="s">
        <v>84</v>
      </c>
      <c r="W3" s="5" t="s">
        <v>51</v>
      </c>
    </row>
    <row r="4" spans="1:23" ht="135.5" x14ac:dyDescent="0.3">
      <c r="A4">
        <v>3</v>
      </c>
      <c r="B4" t="s">
        <v>28</v>
      </c>
      <c r="C4" t="s">
        <v>29</v>
      </c>
      <c r="D4" t="s">
        <v>80</v>
      </c>
      <c r="E4" s="3" t="s">
        <v>86</v>
      </c>
      <c r="F4" s="6">
        <v>22</v>
      </c>
      <c r="G4" s="6">
        <v>7</v>
      </c>
      <c r="H4" s="6">
        <v>7</v>
      </c>
      <c r="I4" s="6">
        <v>12</v>
      </c>
      <c r="J4" s="6">
        <v>5</v>
      </c>
      <c r="K4" s="4">
        <f t="shared" si="0"/>
        <v>47</v>
      </c>
      <c r="L4" s="4">
        <f t="shared" si="1"/>
        <v>5.6818181818181817</v>
      </c>
      <c r="M4" s="4">
        <f t="shared" si="2"/>
        <v>404.4</v>
      </c>
      <c r="N4" s="4">
        <f t="shared" si="3"/>
        <v>335.95529999999997</v>
      </c>
      <c r="O4" s="4">
        <f t="shared" si="4"/>
        <v>313.07529999999997</v>
      </c>
      <c r="P4" s="4">
        <v>4000</v>
      </c>
      <c r="Q4" s="4">
        <v>185</v>
      </c>
      <c r="R4" s="4">
        <v>0</v>
      </c>
      <c r="S4" s="5" t="s">
        <v>87</v>
      </c>
      <c r="T4" s="5" t="s">
        <v>88</v>
      </c>
      <c r="U4" s="5" t="s">
        <v>54</v>
      </c>
      <c r="V4" s="5" t="s">
        <v>69</v>
      </c>
      <c r="W4" s="5" t="s">
        <v>70</v>
      </c>
    </row>
    <row r="5" spans="1:23" ht="180.65" x14ac:dyDescent="0.3">
      <c r="A5">
        <v>4</v>
      </c>
      <c r="B5" t="s">
        <v>89</v>
      </c>
      <c r="C5" t="s">
        <v>90</v>
      </c>
      <c r="D5" t="s">
        <v>80</v>
      </c>
      <c r="E5" s="3" t="s">
        <v>91</v>
      </c>
      <c r="F5" s="6">
        <v>26</v>
      </c>
      <c r="G5" s="6">
        <v>11</v>
      </c>
      <c r="H5" s="6">
        <v>5</v>
      </c>
      <c r="I5" s="6">
        <v>12</v>
      </c>
      <c r="J5" s="6">
        <v>3.5</v>
      </c>
      <c r="K5" s="4">
        <f t="shared" si="0"/>
        <v>42.5</v>
      </c>
      <c r="L5" s="4">
        <f t="shared" si="1"/>
        <v>3.9772727272727271</v>
      </c>
      <c r="M5" s="4">
        <f t="shared" si="2"/>
        <v>440.20000000000005</v>
      </c>
      <c r="N5" s="4">
        <f t="shared" si="3"/>
        <v>376.4260250000001</v>
      </c>
      <c r="O5" s="4">
        <f t="shared" si="4"/>
        <v>349.38602500000007</v>
      </c>
      <c r="P5" s="4">
        <v>4000</v>
      </c>
      <c r="Q5" s="4">
        <v>185</v>
      </c>
      <c r="R5" s="4">
        <v>0</v>
      </c>
      <c r="S5" s="5" t="s">
        <v>92</v>
      </c>
      <c r="T5" s="5" t="s">
        <v>93</v>
      </c>
      <c r="U5" s="5" t="s">
        <v>94</v>
      </c>
      <c r="V5" s="5" t="s">
        <v>95</v>
      </c>
      <c r="W5" s="5" t="s">
        <v>51</v>
      </c>
    </row>
    <row r="6" spans="1:23" ht="150.55000000000001" x14ac:dyDescent="0.3">
      <c r="A6">
        <v>5</v>
      </c>
      <c r="B6" t="s">
        <v>96</v>
      </c>
      <c r="C6" t="s">
        <v>97</v>
      </c>
      <c r="D6" t="s">
        <v>80</v>
      </c>
      <c r="E6" s="3" t="s">
        <v>98</v>
      </c>
      <c r="F6" s="6">
        <v>26</v>
      </c>
      <c r="G6" s="6">
        <v>8</v>
      </c>
      <c r="H6" s="6">
        <v>8.5</v>
      </c>
      <c r="I6" s="6">
        <v>12</v>
      </c>
      <c r="J6" s="6">
        <v>16</v>
      </c>
      <c r="K6" s="4">
        <f t="shared" si="0"/>
        <v>29.5</v>
      </c>
      <c r="L6" s="4">
        <f t="shared" si="1"/>
        <v>18.181818181818183</v>
      </c>
      <c r="M6" s="4">
        <f t="shared" si="2"/>
        <v>409.95000000000005</v>
      </c>
      <c r="N6" s="4">
        <f t="shared" si="3"/>
        <v>267.28740000000005</v>
      </c>
      <c r="O6" s="4">
        <f t="shared" si="4"/>
        <v>240.24740000000006</v>
      </c>
      <c r="P6" s="4">
        <v>4000</v>
      </c>
      <c r="Q6" s="4">
        <v>185</v>
      </c>
      <c r="R6" s="4">
        <v>0</v>
      </c>
      <c r="S6" s="5" t="s">
        <v>99</v>
      </c>
      <c r="T6" s="5" t="s">
        <v>100</v>
      </c>
      <c r="U6" s="5" t="s">
        <v>21</v>
      </c>
      <c r="V6" s="5" t="s">
        <v>101</v>
      </c>
      <c r="W6" s="5" t="s">
        <v>102</v>
      </c>
    </row>
    <row r="7" spans="1:23" ht="180.65" x14ac:dyDescent="0.3">
      <c r="A7">
        <v>6</v>
      </c>
      <c r="B7" t="s">
        <v>42</v>
      </c>
      <c r="C7" t="s">
        <v>43</v>
      </c>
      <c r="D7" t="s">
        <v>80</v>
      </c>
      <c r="E7" s="3" t="s">
        <v>103</v>
      </c>
      <c r="F7" s="6">
        <v>20</v>
      </c>
      <c r="G7" s="6">
        <v>9</v>
      </c>
      <c r="H7" s="6">
        <v>8</v>
      </c>
      <c r="I7" s="6">
        <v>12</v>
      </c>
      <c r="J7" s="6">
        <v>3.5</v>
      </c>
      <c r="K7" s="4">
        <f t="shared" si="0"/>
        <v>47.5</v>
      </c>
      <c r="L7" s="4">
        <f t="shared" si="1"/>
        <v>3.9772727272727271</v>
      </c>
      <c r="M7" s="4">
        <f t="shared" si="2"/>
        <v>407.70000000000005</v>
      </c>
      <c r="N7" s="4">
        <f t="shared" si="3"/>
        <v>348.6344625000001</v>
      </c>
      <c r="O7" s="4">
        <f t="shared" si="4"/>
        <v>327.83446250000009</v>
      </c>
      <c r="P7" s="4">
        <v>4000</v>
      </c>
      <c r="Q7" s="4">
        <v>185</v>
      </c>
      <c r="R7" s="4">
        <v>0</v>
      </c>
      <c r="S7" s="5" t="s">
        <v>104</v>
      </c>
      <c r="T7" s="5" t="s">
        <v>105</v>
      </c>
      <c r="U7" s="5" t="s">
        <v>106</v>
      </c>
      <c r="V7" s="5" t="s">
        <v>107</v>
      </c>
      <c r="W7" s="5" t="s">
        <v>108</v>
      </c>
    </row>
    <row r="8" spans="1:23" ht="150.55000000000001" x14ac:dyDescent="0.3">
      <c r="A8">
        <v>7</v>
      </c>
      <c r="B8" t="s">
        <v>42</v>
      </c>
      <c r="C8" t="s">
        <v>43</v>
      </c>
      <c r="D8" t="s">
        <v>80</v>
      </c>
      <c r="E8" s="3" t="s">
        <v>109</v>
      </c>
      <c r="F8" s="6">
        <v>20</v>
      </c>
      <c r="G8" s="6">
        <v>9</v>
      </c>
      <c r="H8" s="6">
        <v>8</v>
      </c>
      <c r="I8" s="6">
        <v>12</v>
      </c>
      <c r="J8" s="6">
        <v>3.5</v>
      </c>
      <c r="K8" s="4">
        <f t="shared" si="0"/>
        <v>47.5</v>
      </c>
      <c r="L8" s="4">
        <f t="shared" si="1"/>
        <v>3.9772727272727271</v>
      </c>
      <c r="M8" s="4">
        <f t="shared" si="2"/>
        <v>407.70000000000005</v>
      </c>
      <c r="N8" s="4">
        <f t="shared" si="3"/>
        <v>348.6344625000001</v>
      </c>
      <c r="O8" s="4">
        <f t="shared" si="4"/>
        <v>327.83446250000009</v>
      </c>
      <c r="P8" s="4">
        <v>4000</v>
      </c>
      <c r="Q8" s="4">
        <v>185</v>
      </c>
      <c r="R8" s="4">
        <v>0</v>
      </c>
      <c r="S8" s="5" t="s">
        <v>110</v>
      </c>
      <c r="T8" s="5" t="s">
        <v>111</v>
      </c>
      <c r="U8" s="5" t="s">
        <v>106</v>
      </c>
      <c r="V8" s="5" t="s">
        <v>107</v>
      </c>
      <c r="W8" s="5" t="s">
        <v>108</v>
      </c>
    </row>
    <row r="9" spans="1:23" ht="90.35" x14ac:dyDescent="0.3">
      <c r="A9">
        <v>8</v>
      </c>
      <c r="B9" t="s">
        <v>112</v>
      </c>
      <c r="C9" t="s">
        <v>369</v>
      </c>
      <c r="D9" t="s">
        <v>80</v>
      </c>
      <c r="E9" s="3" t="s">
        <v>109</v>
      </c>
      <c r="F9" s="6">
        <v>21</v>
      </c>
      <c r="G9" s="6">
        <v>7</v>
      </c>
      <c r="H9" s="6">
        <v>10</v>
      </c>
      <c r="I9" s="6">
        <v>12</v>
      </c>
      <c r="J9" s="6">
        <v>5</v>
      </c>
      <c r="K9" s="4">
        <f t="shared" si="0"/>
        <v>45</v>
      </c>
      <c r="L9" s="4">
        <f t="shared" si="1"/>
        <v>5.6818181818181817</v>
      </c>
      <c r="M9" s="4">
        <f t="shared" si="2"/>
        <v>390.5</v>
      </c>
      <c r="N9" s="4">
        <f t="shared" si="3"/>
        <v>324.40787500000005</v>
      </c>
      <c r="O9" s="4">
        <f t="shared" si="4"/>
        <v>302.56787500000007</v>
      </c>
      <c r="P9" s="4">
        <v>4000</v>
      </c>
      <c r="Q9" s="4">
        <v>185</v>
      </c>
      <c r="R9" s="4">
        <v>0</v>
      </c>
      <c r="S9" s="5" t="s">
        <v>113</v>
      </c>
      <c r="T9" s="5" t="s">
        <v>114</v>
      </c>
      <c r="U9" s="5" t="s">
        <v>115</v>
      </c>
      <c r="V9" s="5" t="s">
        <v>116</v>
      </c>
      <c r="W9" s="5" t="s">
        <v>21</v>
      </c>
    </row>
    <row r="10" spans="1:23" ht="286.05" x14ac:dyDescent="0.3">
      <c r="A10">
        <v>9</v>
      </c>
      <c r="B10" t="s">
        <v>117</v>
      </c>
      <c r="C10" t="s">
        <v>37</v>
      </c>
      <c r="D10" t="s">
        <v>80</v>
      </c>
      <c r="E10" s="3" t="s">
        <v>118</v>
      </c>
      <c r="F10" s="6">
        <v>24</v>
      </c>
      <c r="G10" s="6">
        <v>8</v>
      </c>
      <c r="H10" s="6">
        <v>9</v>
      </c>
      <c r="I10" s="6">
        <v>12</v>
      </c>
      <c r="J10" s="6">
        <v>9</v>
      </c>
      <c r="K10" s="4">
        <f t="shared" si="0"/>
        <v>38</v>
      </c>
      <c r="L10" s="4">
        <f t="shared" si="1"/>
        <v>10.227272727272727</v>
      </c>
      <c r="M10" s="4">
        <f t="shared" si="2"/>
        <v>404.7</v>
      </c>
      <c r="N10" s="4">
        <f t="shared" si="3"/>
        <v>309.89902499999999</v>
      </c>
      <c r="O10" s="4">
        <f t="shared" si="4"/>
        <v>284.93902500000002</v>
      </c>
      <c r="P10" s="4">
        <v>4000</v>
      </c>
      <c r="Q10" s="4">
        <v>185</v>
      </c>
      <c r="R10" s="4">
        <v>0</v>
      </c>
      <c r="S10" s="5" t="s">
        <v>119</v>
      </c>
      <c r="T10" s="5" t="s">
        <v>120</v>
      </c>
      <c r="U10" s="5" t="s">
        <v>121</v>
      </c>
      <c r="V10" s="5" t="s">
        <v>122</v>
      </c>
      <c r="W10" s="5" t="s">
        <v>61</v>
      </c>
    </row>
    <row r="11" spans="1:23" ht="331.2" x14ac:dyDescent="0.3">
      <c r="A11">
        <v>10</v>
      </c>
      <c r="B11" t="s">
        <v>117</v>
      </c>
      <c r="C11" t="s">
        <v>37</v>
      </c>
      <c r="D11" t="s">
        <v>80</v>
      </c>
      <c r="E11" s="3" t="s">
        <v>123</v>
      </c>
      <c r="F11" s="6">
        <v>21</v>
      </c>
      <c r="G11" s="6">
        <v>10</v>
      </c>
      <c r="H11" s="6">
        <v>9</v>
      </c>
      <c r="I11" s="6">
        <v>12</v>
      </c>
      <c r="J11" s="6">
        <v>4</v>
      </c>
      <c r="K11" s="4">
        <f t="shared" si="0"/>
        <v>44</v>
      </c>
      <c r="L11" s="4">
        <f t="shared" si="1"/>
        <v>4.5454545454545459</v>
      </c>
      <c r="M11" s="4">
        <f t="shared" si="2"/>
        <v>410.5</v>
      </c>
      <c r="N11" s="4">
        <f t="shared" si="3"/>
        <v>347.69349999999997</v>
      </c>
      <c r="O11" s="4">
        <f t="shared" si="4"/>
        <v>325.8535</v>
      </c>
      <c r="P11" s="4">
        <v>4000</v>
      </c>
      <c r="Q11" s="4">
        <v>185</v>
      </c>
      <c r="R11" s="4">
        <v>0</v>
      </c>
      <c r="S11" s="5" t="s">
        <v>124</v>
      </c>
      <c r="T11" s="5" t="s">
        <v>125</v>
      </c>
      <c r="U11" s="5" t="s">
        <v>121</v>
      </c>
      <c r="V11" s="5" t="s">
        <v>126</v>
      </c>
      <c r="W11" s="5" t="s">
        <v>127</v>
      </c>
    </row>
    <row r="12" spans="1:23" ht="150.55000000000001" x14ac:dyDescent="0.3">
      <c r="A12">
        <v>11</v>
      </c>
      <c r="B12" t="s">
        <v>44</v>
      </c>
      <c r="C12" t="s">
        <v>369</v>
      </c>
      <c r="D12" t="s">
        <v>80</v>
      </c>
      <c r="E12" s="3" t="s">
        <v>109</v>
      </c>
      <c r="F12" s="6">
        <v>21</v>
      </c>
      <c r="G12" s="6">
        <v>7</v>
      </c>
      <c r="H12" s="6">
        <v>10</v>
      </c>
      <c r="I12" s="6">
        <v>10</v>
      </c>
      <c r="J12" s="6">
        <v>4</v>
      </c>
      <c r="K12" s="4">
        <f t="shared" si="0"/>
        <v>48</v>
      </c>
      <c r="L12" s="4">
        <f t="shared" si="1"/>
        <v>4.4444444444444446</v>
      </c>
      <c r="M12" s="4">
        <f t="shared" si="2"/>
        <v>398.7</v>
      </c>
      <c r="N12" s="4">
        <f t="shared" si="3"/>
        <v>338.27480000000003</v>
      </c>
      <c r="O12" s="4">
        <f t="shared" si="4"/>
        <v>316.43480000000005</v>
      </c>
      <c r="P12" s="4">
        <v>4000</v>
      </c>
      <c r="Q12" s="4">
        <v>185</v>
      </c>
      <c r="R12" s="4">
        <v>0</v>
      </c>
      <c r="S12" s="5" t="s">
        <v>128</v>
      </c>
      <c r="T12" s="5" t="s">
        <v>129</v>
      </c>
      <c r="U12" s="5" t="s">
        <v>21</v>
      </c>
      <c r="V12" s="5" t="s">
        <v>130</v>
      </c>
      <c r="W12" s="5" t="s">
        <v>21</v>
      </c>
    </row>
    <row r="13" spans="1:23" ht="135.5" x14ac:dyDescent="0.3">
      <c r="A13">
        <v>12</v>
      </c>
      <c r="B13" t="s">
        <v>131</v>
      </c>
      <c r="C13" t="s">
        <v>26</v>
      </c>
      <c r="D13" t="s">
        <v>80</v>
      </c>
      <c r="E13" s="3" t="s">
        <v>132</v>
      </c>
      <c r="F13" s="6">
        <v>28</v>
      </c>
      <c r="G13" s="6">
        <v>17</v>
      </c>
      <c r="H13" s="6">
        <v>6.9</v>
      </c>
      <c r="I13" s="6">
        <v>8</v>
      </c>
      <c r="J13" s="6">
        <v>2.1</v>
      </c>
      <c r="K13" s="4">
        <f t="shared" si="0"/>
        <v>38</v>
      </c>
      <c r="L13" s="4">
        <f t="shared" si="1"/>
        <v>2.2826086956521738</v>
      </c>
      <c r="M13" s="4">
        <f t="shared" si="2"/>
        <v>483.80999999999995</v>
      </c>
      <c r="N13" s="4">
        <f t="shared" si="3"/>
        <v>425.4425305434782</v>
      </c>
      <c r="O13" s="4">
        <f t="shared" si="4"/>
        <v>396.32253054347819</v>
      </c>
      <c r="P13" s="4">
        <v>4000</v>
      </c>
      <c r="Q13" s="4">
        <v>185</v>
      </c>
      <c r="R13" s="4">
        <v>0</v>
      </c>
      <c r="S13" s="5" t="s">
        <v>133</v>
      </c>
      <c r="T13" s="5" t="s">
        <v>134</v>
      </c>
      <c r="U13" s="5" t="s">
        <v>52</v>
      </c>
      <c r="V13" s="5" t="s">
        <v>135</v>
      </c>
      <c r="W13" s="5" t="s">
        <v>21</v>
      </c>
    </row>
    <row r="14" spans="1:23" ht="120.45" x14ac:dyDescent="0.3">
      <c r="A14">
        <v>13</v>
      </c>
      <c r="B14" t="s">
        <v>136</v>
      </c>
      <c r="C14" t="s">
        <v>137</v>
      </c>
      <c r="D14" t="s">
        <v>80</v>
      </c>
      <c r="E14" s="3" t="s">
        <v>138</v>
      </c>
      <c r="F14" s="6">
        <v>21</v>
      </c>
      <c r="G14" s="6">
        <v>7</v>
      </c>
      <c r="H14" s="6">
        <v>10</v>
      </c>
      <c r="I14" s="6">
        <v>10</v>
      </c>
      <c r="J14" s="6">
        <v>4</v>
      </c>
      <c r="K14" s="4">
        <f t="shared" si="0"/>
        <v>48</v>
      </c>
      <c r="L14" s="4">
        <f t="shared" si="1"/>
        <v>4.4444444444444446</v>
      </c>
      <c r="M14" s="4">
        <f t="shared" si="2"/>
        <v>398.7</v>
      </c>
      <c r="N14" s="4">
        <f t="shared" si="3"/>
        <v>338.27480000000003</v>
      </c>
      <c r="O14" s="4">
        <f t="shared" si="4"/>
        <v>316.43480000000005</v>
      </c>
      <c r="P14" s="4">
        <v>4000</v>
      </c>
      <c r="Q14" s="4">
        <v>185</v>
      </c>
      <c r="R14" s="4">
        <v>0</v>
      </c>
      <c r="S14" s="5" t="s">
        <v>139</v>
      </c>
      <c r="T14" s="5" t="s">
        <v>140</v>
      </c>
      <c r="U14" s="5" t="s">
        <v>47</v>
      </c>
      <c r="V14" s="5" t="s">
        <v>141</v>
      </c>
      <c r="W14" s="5" t="s">
        <v>21</v>
      </c>
    </row>
    <row r="15" spans="1:23" ht="105.4" x14ac:dyDescent="0.3">
      <c r="A15">
        <v>14</v>
      </c>
      <c r="B15" t="s">
        <v>136</v>
      </c>
      <c r="C15" t="s">
        <v>137</v>
      </c>
      <c r="D15" t="s">
        <v>80</v>
      </c>
      <c r="E15" s="3" t="s">
        <v>142</v>
      </c>
      <c r="F15" s="6">
        <v>25</v>
      </c>
      <c r="G15" s="6">
        <v>7</v>
      </c>
      <c r="H15" s="6">
        <v>10</v>
      </c>
      <c r="I15" s="6">
        <v>10</v>
      </c>
      <c r="J15" s="6">
        <v>4</v>
      </c>
      <c r="K15" s="4">
        <f t="shared" si="0"/>
        <v>44</v>
      </c>
      <c r="L15" s="4">
        <f t="shared" si="1"/>
        <v>4.4444444444444446</v>
      </c>
      <c r="M15" s="4">
        <f t="shared" si="2"/>
        <v>405.1</v>
      </c>
      <c r="N15" s="4">
        <f t="shared" si="3"/>
        <v>343.70484444444446</v>
      </c>
      <c r="O15" s="4">
        <f t="shared" si="4"/>
        <v>317.70484444444446</v>
      </c>
      <c r="P15" s="4">
        <v>4000</v>
      </c>
      <c r="Q15" s="4">
        <v>185</v>
      </c>
      <c r="R15" s="4">
        <v>0</v>
      </c>
      <c r="S15" s="5" t="s">
        <v>143</v>
      </c>
      <c r="T15" s="5" t="s">
        <v>144</v>
      </c>
      <c r="U15" s="5" t="s">
        <v>33</v>
      </c>
      <c r="V15" s="5" t="s">
        <v>145</v>
      </c>
      <c r="W15" s="5" t="s">
        <v>21</v>
      </c>
    </row>
    <row r="16" spans="1:23" ht="135.5" x14ac:dyDescent="0.3">
      <c r="A16">
        <v>15</v>
      </c>
      <c r="B16" t="s">
        <v>178</v>
      </c>
      <c r="C16" t="s">
        <v>29</v>
      </c>
      <c r="D16" t="s">
        <v>80</v>
      </c>
      <c r="E16" s="3" t="s">
        <v>179</v>
      </c>
      <c r="F16" s="6">
        <v>30</v>
      </c>
      <c r="G16" s="6">
        <v>15</v>
      </c>
      <c r="H16" s="6">
        <v>8</v>
      </c>
      <c r="I16" s="6">
        <v>12</v>
      </c>
      <c r="J16" s="6">
        <v>16</v>
      </c>
      <c r="K16" s="4">
        <f t="shared" si="0"/>
        <v>19</v>
      </c>
      <c r="L16" s="4">
        <f t="shared" si="1"/>
        <v>18.181818181818183</v>
      </c>
      <c r="M16" s="4">
        <f t="shared" si="2"/>
        <v>455.5</v>
      </c>
      <c r="N16" s="4">
        <f t="shared" si="3"/>
        <v>296.98600000000005</v>
      </c>
      <c r="O16" s="4">
        <f t="shared" si="4"/>
        <v>265.78600000000006</v>
      </c>
      <c r="P16" s="4">
        <v>4000</v>
      </c>
      <c r="Q16" s="4">
        <v>185</v>
      </c>
      <c r="R16" s="4">
        <v>0</v>
      </c>
      <c r="S16" s="5" t="s">
        <v>180</v>
      </c>
      <c r="T16" s="5" t="s">
        <v>181</v>
      </c>
      <c r="U16" s="5" t="s">
        <v>182</v>
      </c>
      <c r="V16" s="5" t="s">
        <v>183</v>
      </c>
      <c r="W16" s="5" t="s">
        <v>184</v>
      </c>
    </row>
    <row r="17" spans="1:23" ht="135.5" x14ac:dyDescent="0.3">
      <c r="A17">
        <v>16</v>
      </c>
      <c r="B17" t="s">
        <v>178</v>
      </c>
      <c r="C17" t="s">
        <v>29</v>
      </c>
      <c r="D17" t="s">
        <v>80</v>
      </c>
      <c r="E17" s="3" t="s">
        <v>185</v>
      </c>
      <c r="F17" s="6">
        <v>30</v>
      </c>
      <c r="G17" s="6">
        <v>15</v>
      </c>
      <c r="H17" s="6">
        <v>8</v>
      </c>
      <c r="I17" s="6">
        <v>12</v>
      </c>
      <c r="J17" s="6">
        <v>16</v>
      </c>
      <c r="K17" s="4">
        <f t="shared" si="0"/>
        <v>19</v>
      </c>
      <c r="L17" s="4">
        <f t="shared" si="1"/>
        <v>18.181818181818183</v>
      </c>
      <c r="M17" s="4">
        <f t="shared" si="2"/>
        <v>455.5</v>
      </c>
      <c r="N17" s="4">
        <f t="shared" si="3"/>
        <v>296.98600000000005</v>
      </c>
      <c r="O17" s="4">
        <f t="shared" si="4"/>
        <v>265.78600000000006</v>
      </c>
      <c r="P17" s="4">
        <v>4000</v>
      </c>
      <c r="Q17" s="4">
        <v>185</v>
      </c>
      <c r="R17" s="4">
        <v>0</v>
      </c>
      <c r="S17" s="5" t="s">
        <v>180</v>
      </c>
      <c r="T17" s="5" t="s">
        <v>181</v>
      </c>
      <c r="U17" s="5" t="s">
        <v>182</v>
      </c>
      <c r="V17" s="5" t="s">
        <v>183</v>
      </c>
      <c r="W17" s="5" t="s">
        <v>184</v>
      </c>
    </row>
    <row r="18" spans="1:23" ht="150.55000000000001" x14ac:dyDescent="0.3">
      <c r="A18">
        <v>17</v>
      </c>
      <c r="B18" t="s">
        <v>186</v>
      </c>
      <c r="C18" t="s">
        <v>187</v>
      </c>
      <c r="D18" t="s">
        <v>80</v>
      </c>
      <c r="E18" s="3" t="s">
        <v>188</v>
      </c>
      <c r="F18" s="6">
        <v>25</v>
      </c>
      <c r="G18" s="6">
        <v>15</v>
      </c>
      <c r="H18" s="6">
        <v>8.9</v>
      </c>
      <c r="I18" s="6">
        <v>10</v>
      </c>
      <c r="J18" s="6">
        <v>3</v>
      </c>
      <c r="K18" s="4">
        <f t="shared" si="0"/>
        <v>38.1</v>
      </c>
      <c r="L18" s="4">
        <f t="shared" si="1"/>
        <v>3.3333333333333335</v>
      </c>
      <c r="M18" s="4">
        <f t="shared" si="2"/>
        <v>452.01</v>
      </c>
      <c r="N18" s="4">
        <f t="shared" si="3"/>
        <v>390.68731000000002</v>
      </c>
      <c r="O18" s="4">
        <f t="shared" si="4"/>
        <v>364.68731000000002</v>
      </c>
      <c r="P18" s="4">
        <v>4000</v>
      </c>
      <c r="Q18" s="4">
        <v>185</v>
      </c>
      <c r="R18" s="4">
        <v>0</v>
      </c>
      <c r="S18" s="5" t="s">
        <v>189</v>
      </c>
      <c r="T18" s="5" t="s">
        <v>190</v>
      </c>
      <c r="U18" s="5" t="s">
        <v>79</v>
      </c>
      <c r="V18" s="5" t="s">
        <v>191</v>
      </c>
      <c r="W18" s="5" t="s">
        <v>21</v>
      </c>
    </row>
    <row r="19" spans="1:23" ht="150.55000000000001" x14ac:dyDescent="0.3">
      <c r="A19">
        <v>18</v>
      </c>
      <c r="B19" t="s">
        <v>536</v>
      </c>
      <c r="C19" t="s">
        <v>97</v>
      </c>
      <c r="D19" t="s">
        <v>80</v>
      </c>
      <c r="E19" s="3" t="s">
        <v>192</v>
      </c>
      <c r="F19" s="6">
        <v>26</v>
      </c>
      <c r="G19" s="6">
        <v>8</v>
      </c>
      <c r="H19" s="6">
        <v>8.5</v>
      </c>
      <c r="I19" s="6">
        <v>12</v>
      </c>
      <c r="J19" s="6">
        <v>16</v>
      </c>
      <c r="K19" s="4">
        <f t="shared" si="0"/>
        <v>29.5</v>
      </c>
      <c r="L19" s="4">
        <f t="shared" si="1"/>
        <v>18.181818181818183</v>
      </c>
      <c r="M19" s="4">
        <f t="shared" si="2"/>
        <v>409.95000000000005</v>
      </c>
      <c r="N19" s="4">
        <f t="shared" si="3"/>
        <v>267.28740000000005</v>
      </c>
      <c r="O19" s="4">
        <f t="shared" si="4"/>
        <v>240.24740000000006</v>
      </c>
      <c r="P19" s="4">
        <v>4000</v>
      </c>
      <c r="Q19" s="4">
        <v>185</v>
      </c>
      <c r="R19" s="4">
        <v>0</v>
      </c>
      <c r="S19" s="5" t="s">
        <v>193</v>
      </c>
      <c r="T19" s="5" t="s">
        <v>100</v>
      </c>
      <c r="U19" s="5" t="s">
        <v>21</v>
      </c>
      <c r="V19" s="5" t="s">
        <v>194</v>
      </c>
      <c r="W19" s="5" t="s">
        <v>102</v>
      </c>
    </row>
    <row r="20" spans="1:23" ht="165.6" x14ac:dyDescent="0.3">
      <c r="A20">
        <v>19</v>
      </c>
      <c r="B20" t="s">
        <v>195</v>
      </c>
      <c r="C20" t="s">
        <v>97</v>
      </c>
      <c r="D20" t="s">
        <v>80</v>
      </c>
      <c r="E20" s="3" t="s">
        <v>196</v>
      </c>
      <c r="F20" s="6">
        <v>29</v>
      </c>
      <c r="G20" s="6">
        <v>17</v>
      </c>
      <c r="H20" s="6">
        <v>9</v>
      </c>
      <c r="I20" s="6">
        <v>12</v>
      </c>
      <c r="J20" s="6">
        <v>3.5</v>
      </c>
      <c r="K20" s="4">
        <f t="shared" si="0"/>
        <v>29.5</v>
      </c>
      <c r="L20" s="4">
        <f t="shared" si="1"/>
        <v>3.9772727272727271</v>
      </c>
      <c r="M20" s="4">
        <f t="shared" si="2"/>
        <v>460.4</v>
      </c>
      <c r="N20" s="4">
        <f t="shared" si="3"/>
        <v>393.69955000000004</v>
      </c>
      <c r="O20" s="4">
        <f t="shared" si="4"/>
        <v>363.53955000000002</v>
      </c>
      <c r="P20" s="4">
        <v>4000</v>
      </c>
      <c r="Q20" s="4">
        <v>185</v>
      </c>
      <c r="R20" s="4">
        <v>0</v>
      </c>
      <c r="S20" s="5" t="s">
        <v>197</v>
      </c>
      <c r="T20" s="5" t="s">
        <v>198</v>
      </c>
      <c r="U20" s="5" t="s">
        <v>68</v>
      </c>
      <c r="V20" s="5" t="s">
        <v>64</v>
      </c>
      <c r="W20" s="5" t="s">
        <v>199</v>
      </c>
    </row>
    <row r="21" spans="1:23" ht="105.4" x14ac:dyDescent="0.3">
      <c r="A21">
        <v>20</v>
      </c>
      <c r="B21" t="s">
        <v>200</v>
      </c>
      <c r="C21" t="s">
        <v>201</v>
      </c>
      <c r="D21" t="s">
        <v>80</v>
      </c>
      <c r="E21" s="3" t="s">
        <v>202</v>
      </c>
      <c r="F21" s="6">
        <v>22</v>
      </c>
      <c r="G21" s="6">
        <v>11.5</v>
      </c>
      <c r="H21" s="6">
        <v>7</v>
      </c>
      <c r="I21" s="6">
        <v>10</v>
      </c>
      <c r="J21" s="6">
        <v>3</v>
      </c>
      <c r="K21" s="4">
        <f t="shared" si="0"/>
        <v>46.5</v>
      </c>
      <c r="L21" s="4">
        <f t="shared" si="1"/>
        <v>3.3333333333333335</v>
      </c>
      <c r="M21" s="4">
        <f t="shared" si="2"/>
        <v>436.45</v>
      </c>
      <c r="N21" s="4">
        <f t="shared" si="3"/>
        <v>377.2382833333333</v>
      </c>
      <c r="O21" s="4">
        <f t="shared" si="4"/>
        <v>354.3582833333333</v>
      </c>
      <c r="P21" s="4">
        <v>4000</v>
      </c>
      <c r="Q21" s="4">
        <v>185</v>
      </c>
      <c r="R21" s="4">
        <v>0</v>
      </c>
      <c r="S21" s="5" t="s">
        <v>203</v>
      </c>
      <c r="T21" s="5" t="s">
        <v>204</v>
      </c>
      <c r="U21" s="5" t="s">
        <v>205</v>
      </c>
      <c r="V21" s="5" t="s">
        <v>206</v>
      </c>
      <c r="W21" s="5" t="s">
        <v>56</v>
      </c>
    </row>
    <row r="22" spans="1:23" ht="150.55000000000001" x14ac:dyDescent="0.3">
      <c r="A22">
        <v>21</v>
      </c>
      <c r="B22" t="s">
        <v>207</v>
      </c>
      <c r="C22" t="s">
        <v>27</v>
      </c>
      <c r="D22" t="s">
        <v>80</v>
      </c>
      <c r="E22" s="3" t="s">
        <v>138</v>
      </c>
      <c r="F22" s="6">
        <v>28</v>
      </c>
      <c r="G22" s="6">
        <v>18</v>
      </c>
      <c r="H22" s="6">
        <v>7</v>
      </c>
      <c r="I22" s="6">
        <v>10</v>
      </c>
      <c r="J22" s="6">
        <v>1.7</v>
      </c>
      <c r="K22" s="4">
        <f t="shared" si="0"/>
        <v>35.299999999999997</v>
      </c>
      <c r="L22" s="4">
        <f t="shared" si="1"/>
        <v>1.8888888888888888</v>
      </c>
      <c r="M22" s="4">
        <f t="shared" si="2"/>
        <v>480.5</v>
      </c>
      <c r="N22" s="4">
        <f t="shared" si="3"/>
        <v>425.23716111111111</v>
      </c>
      <c r="O22" s="4">
        <f t="shared" si="4"/>
        <v>396.1171611111111</v>
      </c>
      <c r="P22" s="4">
        <v>4000</v>
      </c>
      <c r="Q22" s="4">
        <v>185</v>
      </c>
      <c r="R22" s="4">
        <v>0</v>
      </c>
      <c r="S22" s="5" t="s">
        <v>208</v>
      </c>
      <c r="T22" s="5" t="s">
        <v>209</v>
      </c>
      <c r="U22" s="5" t="s">
        <v>66</v>
      </c>
      <c r="V22" s="5" t="s">
        <v>67</v>
      </c>
      <c r="W22" s="5" t="s">
        <v>65</v>
      </c>
    </row>
    <row r="23" spans="1:23" ht="90.35" x14ac:dyDescent="0.3">
      <c r="A23">
        <v>22</v>
      </c>
      <c r="B23" t="s">
        <v>210</v>
      </c>
      <c r="C23" t="s">
        <v>211</v>
      </c>
      <c r="D23" t="s">
        <v>80</v>
      </c>
      <c r="E23" s="3" t="s">
        <v>212</v>
      </c>
      <c r="F23" s="6">
        <v>28</v>
      </c>
      <c r="G23" s="6">
        <v>17</v>
      </c>
      <c r="H23" s="6">
        <v>6.95</v>
      </c>
      <c r="I23" s="6">
        <v>9</v>
      </c>
      <c r="J23" s="6">
        <v>3.4</v>
      </c>
      <c r="K23" s="4">
        <f t="shared" si="0"/>
        <v>35.649999999999991</v>
      </c>
      <c r="L23" s="4">
        <f t="shared" si="1"/>
        <v>3.7362637362637363</v>
      </c>
      <c r="M23" s="4">
        <f t="shared" si="2"/>
        <v>479.50499999999988</v>
      </c>
      <c r="N23" s="4">
        <f t="shared" si="3"/>
        <v>411.68929285714279</v>
      </c>
      <c r="O23" s="4">
        <f t="shared" si="4"/>
        <v>382.56929285714278</v>
      </c>
      <c r="P23" s="4">
        <v>4000</v>
      </c>
      <c r="Q23" s="4">
        <v>185</v>
      </c>
      <c r="R23" s="4">
        <v>0</v>
      </c>
      <c r="S23" s="5" t="s">
        <v>213</v>
      </c>
      <c r="T23" s="5" t="s">
        <v>214</v>
      </c>
      <c r="U23" s="5" t="s">
        <v>33</v>
      </c>
      <c r="V23" s="5" t="s">
        <v>215</v>
      </c>
      <c r="W23" s="5" t="s">
        <v>216</v>
      </c>
    </row>
    <row r="24" spans="1:23" ht="165.6" x14ac:dyDescent="0.3">
      <c r="A24">
        <v>23</v>
      </c>
      <c r="B24" t="s">
        <v>195</v>
      </c>
      <c r="C24" t="s">
        <v>97</v>
      </c>
      <c r="D24" t="s">
        <v>80</v>
      </c>
      <c r="E24" s="3" t="s">
        <v>217</v>
      </c>
      <c r="F24" s="6">
        <v>26</v>
      </c>
      <c r="G24" s="6">
        <v>15</v>
      </c>
      <c r="H24" s="6">
        <v>8.5</v>
      </c>
      <c r="I24" s="6">
        <v>12</v>
      </c>
      <c r="J24" s="6">
        <v>3.5</v>
      </c>
      <c r="K24" s="4">
        <f t="shared" si="0"/>
        <v>35</v>
      </c>
      <c r="L24" s="4">
        <f t="shared" si="1"/>
        <v>3.9772727272727271</v>
      </c>
      <c r="M24" s="4">
        <f t="shared" si="2"/>
        <v>447.05000000000007</v>
      </c>
      <c r="N24" s="4">
        <f t="shared" si="3"/>
        <v>382.28363125000004</v>
      </c>
      <c r="O24" s="4">
        <f t="shared" si="4"/>
        <v>355.24363125000002</v>
      </c>
      <c r="P24" s="4">
        <v>4000</v>
      </c>
      <c r="Q24" s="4">
        <v>185</v>
      </c>
      <c r="R24" s="4">
        <v>0</v>
      </c>
      <c r="S24" s="5" t="s">
        <v>218</v>
      </c>
      <c r="T24" s="5" t="s">
        <v>198</v>
      </c>
      <c r="U24" s="5" t="s">
        <v>68</v>
      </c>
      <c r="V24" s="5" t="s">
        <v>64</v>
      </c>
      <c r="W24" s="5" t="s">
        <v>102</v>
      </c>
    </row>
    <row r="25" spans="1:23" ht="165.6" x14ac:dyDescent="0.3">
      <c r="A25">
        <v>24</v>
      </c>
      <c r="B25" t="s">
        <v>219</v>
      </c>
      <c r="C25" t="s">
        <v>220</v>
      </c>
      <c r="D25" t="s">
        <v>80</v>
      </c>
      <c r="E25" s="3" t="s">
        <v>221</v>
      </c>
      <c r="F25" s="6">
        <v>25</v>
      </c>
      <c r="G25" s="6">
        <v>13</v>
      </c>
      <c r="H25" s="6">
        <v>7</v>
      </c>
      <c r="I25" s="6">
        <v>10</v>
      </c>
      <c r="J25" s="6">
        <v>5</v>
      </c>
      <c r="K25" s="4">
        <f t="shared" si="0"/>
        <v>40</v>
      </c>
      <c r="L25" s="4">
        <f t="shared" si="1"/>
        <v>5.5555555555555554</v>
      </c>
      <c r="M25" s="4">
        <f t="shared" si="2"/>
        <v>449.19999999999993</v>
      </c>
      <c r="N25" s="4">
        <f t="shared" si="3"/>
        <v>373.9839555555555</v>
      </c>
      <c r="O25" s="4">
        <f t="shared" si="4"/>
        <v>347.9839555555555</v>
      </c>
      <c r="P25" s="4">
        <v>4000</v>
      </c>
      <c r="Q25" s="4">
        <v>185</v>
      </c>
      <c r="R25" s="4">
        <v>0</v>
      </c>
      <c r="S25" s="5" t="s">
        <v>222</v>
      </c>
      <c r="T25" s="5" t="s">
        <v>58</v>
      </c>
      <c r="U25" s="5" t="s">
        <v>53</v>
      </c>
      <c r="V25" s="5" t="s">
        <v>59</v>
      </c>
      <c r="W25" s="5" t="s">
        <v>223</v>
      </c>
    </row>
    <row r="26" spans="1:23" ht="135.5" x14ac:dyDescent="0.3">
      <c r="A26">
        <v>25</v>
      </c>
      <c r="B26" t="s">
        <v>219</v>
      </c>
      <c r="C26" t="s">
        <v>220</v>
      </c>
      <c r="D26" t="s">
        <v>80</v>
      </c>
      <c r="E26" s="3" t="s">
        <v>224</v>
      </c>
      <c r="F26" s="6">
        <v>28</v>
      </c>
      <c r="G26" s="6">
        <v>17</v>
      </c>
      <c r="H26" s="6">
        <v>8.3000000000000007</v>
      </c>
      <c r="I26" s="6">
        <v>10</v>
      </c>
      <c r="J26" s="6">
        <v>4</v>
      </c>
      <c r="K26" s="4">
        <f t="shared" si="0"/>
        <v>32.700000000000003</v>
      </c>
      <c r="L26" s="4">
        <f t="shared" si="1"/>
        <v>4.4444444444444446</v>
      </c>
      <c r="M26" s="4">
        <f t="shared" si="2"/>
        <v>469.87</v>
      </c>
      <c r="N26" s="4">
        <f t="shared" si="3"/>
        <v>398.65859111111115</v>
      </c>
      <c r="O26" s="4">
        <f t="shared" si="4"/>
        <v>369.53859111111115</v>
      </c>
      <c r="P26" s="4">
        <v>4000</v>
      </c>
      <c r="Q26" s="4">
        <v>185</v>
      </c>
      <c r="R26" s="4">
        <v>0</v>
      </c>
      <c r="S26" s="5" t="s">
        <v>225</v>
      </c>
      <c r="T26" s="5" t="s">
        <v>58</v>
      </c>
      <c r="U26" s="5" t="s">
        <v>53</v>
      </c>
      <c r="V26" s="5" t="s">
        <v>226</v>
      </c>
      <c r="W26" s="5" t="s">
        <v>227</v>
      </c>
    </row>
    <row r="27" spans="1:23" ht="120.45" x14ac:dyDescent="0.3">
      <c r="A27">
        <v>26</v>
      </c>
      <c r="B27" t="s">
        <v>25</v>
      </c>
      <c r="C27" t="s">
        <v>265</v>
      </c>
      <c r="D27" t="s">
        <v>80</v>
      </c>
      <c r="E27" s="3" t="s">
        <v>20</v>
      </c>
      <c r="F27" s="6">
        <v>25</v>
      </c>
      <c r="G27" s="6">
        <v>9</v>
      </c>
      <c r="H27" s="6">
        <v>7</v>
      </c>
      <c r="I27" s="6">
        <v>10</v>
      </c>
      <c r="J27" s="6">
        <v>7.5</v>
      </c>
      <c r="K27" s="4">
        <f t="shared" si="0"/>
        <v>41.5</v>
      </c>
      <c r="L27" s="4">
        <f t="shared" si="1"/>
        <v>8.3333333333333339</v>
      </c>
      <c r="M27" s="4">
        <f t="shared" si="2"/>
        <v>428</v>
      </c>
      <c r="N27" s="4">
        <f t="shared" si="3"/>
        <v>339.33266666666663</v>
      </c>
      <c r="O27" s="4">
        <f t="shared" si="4"/>
        <v>313.33266666666663</v>
      </c>
      <c r="P27" s="4">
        <v>4000</v>
      </c>
      <c r="Q27" s="4">
        <v>185</v>
      </c>
      <c r="R27" s="4">
        <v>0</v>
      </c>
      <c r="S27" s="5" t="s">
        <v>266</v>
      </c>
      <c r="T27" s="5" t="s">
        <v>267</v>
      </c>
      <c r="U27" s="5" t="s">
        <v>268</v>
      </c>
      <c r="V27" s="5" t="s">
        <v>269</v>
      </c>
      <c r="W27" s="5" t="s">
        <v>270</v>
      </c>
    </row>
    <row r="28" spans="1:23" ht="180.65" x14ac:dyDescent="0.3">
      <c r="A28">
        <v>27</v>
      </c>
      <c r="B28" t="s">
        <v>271</v>
      </c>
      <c r="C28" t="s">
        <v>250</v>
      </c>
      <c r="D28" t="s">
        <v>80</v>
      </c>
      <c r="E28" s="3" t="s">
        <v>272</v>
      </c>
      <c r="F28" s="6">
        <v>38</v>
      </c>
      <c r="G28" s="6">
        <v>19</v>
      </c>
      <c r="H28" s="6">
        <v>8.5</v>
      </c>
      <c r="I28" s="6">
        <v>8</v>
      </c>
      <c r="J28" s="6">
        <v>2.5</v>
      </c>
      <c r="K28" s="4">
        <f t="shared" si="0"/>
        <v>24</v>
      </c>
      <c r="L28" s="4">
        <f t="shared" si="1"/>
        <v>2.7173913043478262</v>
      </c>
      <c r="M28" s="4">
        <f t="shared" si="2"/>
        <v>503.84999999999997</v>
      </c>
      <c r="N28" s="4">
        <f t="shared" si="3"/>
        <v>439.93224619565217</v>
      </c>
      <c r="O28" s="4">
        <f t="shared" si="4"/>
        <v>400.41224619565219</v>
      </c>
      <c r="P28" s="4">
        <v>4000</v>
      </c>
      <c r="Q28" s="4">
        <v>185</v>
      </c>
      <c r="R28" s="4">
        <v>0</v>
      </c>
      <c r="S28" s="5" t="s">
        <v>273</v>
      </c>
      <c r="T28" s="5" t="s">
        <v>274</v>
      </c>
      <c r="U28" s="5" t="s">
        <v>24</v>
      </c>
      <c r="V28" s="5" t="s">
        <v>275</v>
      </c>
      <c r="W28" s="5" t="s">
        <v>51</v>
      </c>
    </row>
    <row r="29" spans="1:23" ht="195.75" x14ac:dyDescent="0.3">
      <c r="A29">
        <v>28</v>
      </c>
      <c r="B29" t="s">
        <v>276</v>
      </c>
      <c r="C29" t="s">
        <v>250</v>
      </c>
      <c r="D29" t="s">
        <v>80</v>
      </c>
      <c r="E29" s="3" t="s">
        <v>277</v>
      </c>
      <c r="F29" s="6">
        <v>38</v>
      </c>
      <c r="G29" s="6">
        <v>18</v>
      </c>
      <c r="H29" s="6">
        <v>8.5</v>
      </c>
      <c r="I29" s="6">
        <v>8</v>
      </c>
      <c r="J29" s="6">
        <v>2.5</v>
      </c>
      <c r="K29" s="4">
        <f t="shared" si="0"/>
        <v>25</v>
      </c>
      <c r="L29" s="4">
        <f t="shared" si="1"/>
        <v>2.7173913043478262</v>
      </c>
      <c r="M29" s="4">
        <f t="shared" si="2"/>
        <v>498.55</v>
      </c>
      <c r="N29" s="4">
        <f t="shared" si="3"/>
        <v>435.30459728260871</v>
      </c>
      <c r="O29" s="4">
        <f t="shared" si="4"/>
        <v>395.78459728260873</v>
      </c>
      <c r="P29" s="4">
        <v>4000</v>
      </c>
      <c r="Q29" s="4">
        <v>185</v>
      </c>
      <c r="R29" s="4">
        <v>0</v>
      </c>
      <c r="S29" s="5" t="s">
        <v>278</v>
      </c>
      <c r="T29" s="5" t="s">
        <v>279</v>
      </c>
      <c r="U29" s="5" t="s">
        <v>280</v>
      </c>
      <c r="V29" s="5" t="s">
        <v>281</v>
      </c>
      <c r="W29" s="5" t="s">
        <v>21</v>
      </c>
    </row>
    <row r="30" spans="1:23" ht="150.55000000000001" x14ac:dyDescent="0.3">
      <c r="A30">
        <v>29</v>
      </c>
      <c r="B30" t="s">
        <v>282</v>
      </c>
      <c r="C30" t="s">
        <v>283</v>
      </c>
      <c r="D30" t="s">
        <v>80</v>
      </c>
      <c r="E30" s="3" t="s">
        <v>284</v>
      </c>
      <c r="F30" s="6">
        <v>24</v>
      </c>
      <c r="G30" s="6">
        <v>11</v>
      </c>
      <c r="H30" s="6">
        <v>6.5</v>
      </c>
      <c r="I30" s="6">
        <v>10</v>
      </c>
      <c r="J30" s="6">
        <v>4</v>
      </c>
      <c r="K30" s="4">
        <f t="shared" si="0"/>
        <v>44.5</v>
      </c>
      <c r="L30" s="4">
        <f t="shared" si="1"/>
        <v>4.4444444444444446</v>
      </c>
      <c r="M30" s="4">
        <f t="shared" si="2"/>
        <v>439.05</v>
      </c>
      <c r="N30" s="4">
        <f t="shared" si="3"/>
        <v>372.50953333333337</v>
      </c>
      <c r="O30" s="4">
        <f t="shared" si="4"/>
        <v>347.54953333333339</v>
      </c>
      <c r="P30" s="4">
        <v>4000</v>
      </c>
      <c r="Q30" s="4">
        <v>185</v>
      </c>
      <c r="R30" s="4">
        <v>0</v>
      </c>
      <c r="S30" s="5" t="s">
        <v>285</v>
      </c>
      <c r="T30" s="5" t="s">
        <v>286</v>
      </c>
      <c r="U30" s="5" t="s">
        <v>287</v>
      </c>
      <c r="V30" s="5" t="s">
        <v>288</v>
      </c>
      <c r="W30" s="5" t="s">
        <v>21</v>
      </c>
    </row>
    <row r="31" spans="1:23" ht="135.5" x14ac:dyDescent="0.3">
      <c r="A31">
        <v>30</v>
      </c>
      <c r="B31" t="s">
        <v>289</v>
      </c>
      <c r="C31" t="s">
        <v>30</v>
      </c>
      <c r="D31" t="s">
        <v>80</v>
      </c>
      <c r="E31" s="3" t="s">
        <v>290</v>
      </c>
      <c r="F31" s="6">
        <v>28</v>
      </c>
      <c r="G31" s="6">
        <v>18</v>
      </c>
      <c r="H31" s="6">
        <v>7.6</v>
      </c>
      <c r="I31" s="6">
        <v>10</v>
      </c>
      <c r="J31" s="6">
        <v>1.5</v>
      </c>
      <c r="K31" s="4">
        <f t="shared" si="0"/>
        <v>34.900000000000006</v>
      </c>
      <c r="L31" s="4">
        <f t="shared" si="1"/>
        <v>1.6666666666666667</v>
      </c>
      <c r="M31" s="4">
        <f t="shared" si="2"/>
        <v>478.04</v>
      </c>
      <c r="N31" s="4">
        <f t="shared" si="3"/>
        <v>424.57919333333331</v>
      </c>
      <c r="O31" s="4">
        <f t="shared" si="4"/>
        <v>395.4591933333333</v>
      </c>
      <c r="P31" s="4">
        <v>4000</v>
      </c>
      <c r="Q31" s="4">
        <v>185</v>
      </c>
      <c r="R31" s="4">
        <v>0</v>
      </c>
      <c r="S31" s="5" t="s">
        <v>291</v>
      </c>
      <c r="T31" s="5" t="s">
        <v>292</v>
      </c>
      <c r="U31" s="5" t="s">
        <v>72</v>
      </c>
      <c r="V31" s="5" t="s">
        <v>50</v>
      </c>
      <c r="W31" s="5" t="s">
        <v>60</v>
      </c>
    </row>
    <row r="32" spans="1:23" ht="120.45" x14ac:dyDescent="0.3">
      <c r="A32">
        <v>31</v>
      </c>
      <c r="B32" t="s">
        <v>293</v>
      </c>
      <c r="C32" t="s">
        <v>30</v>
      </c>
      <c r="D32" t="s">
        <v>80</v>
      </c>
      <c r="E32" s="3" t="s">
        <v>294</v>
      </c>
      <c r="F32" s="6">
        <v>25</v>
      </c>
      <c r="G32" s="6">
        <v>14</v>
      </c>
      <c r="H32" s="6">
        <v>5.6</v>
      </c>
      <c r="I32" s="6">
        <v>10</v>
      </c>
      <c r="J32" s="6">
        <v>1.6</v>
      </c>
      <c r="K32" s="4">
        <f t="shared" si="0"/>
        <v>43.8</v>
      </c>
      <c r="L32" s="4">
        <f t="shared" si="1"/>
        <v>1.7777777777777777</v>
      </c>
      <c r="M32" s="4">
        <f t="shared" si="2"/>
        <v>460.24</v>
      </c>
      <c r="N32" s="4">
        <f t="shared" si="3"/>
        <v>408.03855644444445</v>
      </c>
      <c r="O32" s="4">
        <f t="shared" si="4"/>
        <v>382.03855644444445</v>
      </c>
      <c r="P32" s="4">
        <v>4000</v>
      </c>
      <c r="Q32" s="4">
        <v>185</v>
      </c>
      <c r="R32" s="4">
        <v>0</v>
      </c>
      <c r="S32" s="5" t="s">
        <v>295</v>
      </c>
      <c r="T32" s="5" t="s">
        <v>296</v>
      </c>
      <c r="U32" s="5" t="s">
        <v>31</v>
      </c>
      <c r="V32" s="5" t="s">
        <v>297</v>
      </c>
      <c r="W32" s="5" t="s">
        <v>21</v>
      </c>
    </row>
    <row r="33" spans="1:23" ht="120.45" x14ac:dyDescent="0.3">
      <c r="A33">
        <v>32</v>
      </c>
      <c r="B33" t="s">
        <v>298</v>
      </c>
      <c r="C33" t="s">
        <v>32</v>
      </c>
      <c r="D33" t="s">
        <v>80</v>
      </c>
      <c r="E33" s="3" t="s">
        <v>299</v>
      </c>
      <c r="F33" s="6">
        <v>25.5</v>
      </c>
      <c r="G33" s="6">
        <v>17</v>
      </c>
      <c r="H33" s="6">
        <v>5.3</v>
      </c>
      <c r="I33" s="6">
        <v>11</v>
      </c>
      <c r="J33" s="6">
        <v>1.4</v>
      </c>
      <c r="K33" s="4">
        <f t="shared" si="0"/>
        <v>39.800000000000004</v>
      </c>
      <c r="L33" s="4">
        <f t="shared" si="1"/>
        <v>1.5730337078651686</v>
      </c>
      <c r="M33" s="4">
        <f t="shared" si="2"/>
        <v>474.06999999999994</v>
      </c>
      <c r="N33" s="4">
        <f t="shared" si="3"/>
        <v>421.68792831460667</v>
      </c>
      <c r="O33" s="4">
        <f t="shared" si="4"/>
        <v>395.16792831460668</v>
      </c>
      <c r="P33" s="4">
        <v>4000</v>
      </c>
      <c r="Q33" s="4">
        <v>185</v>
      </c>
      <c r="R33" s="4">
        <v>0</v>
      </c>
      <c r="S33" s="5" t="s">
        <v>300</v>
      </c>
      <c r="T33" s="5" t="s">
        <v>301</v>
      </c>
      <c r="U33" s="5" t="s">
        <v>302</v>
      </c>
      <c r="V33" s="5" t="s">
        <v>303</v>
      </c>
      <c r="W33" s="5" t="s">
        <v>60</v>
      </c>
    </row>
    <row r="34" spans="1:23" ht="120.45" x14ac:dyDescent="0.3">
      <c r="A34">
        <v>33</v>
      </c>
      <c r="B34" t="s">
        <v>304</v>
      </c>
      <c r="C34" t="s">
        <v>30</v>
      </c>
      <c r="D34" t="s">
        <v>80</v>
      </c>
      <c r="E34" s="3" t="s">
        <v>305</v>
      </c>
      <c r="F34" s="6">
        <v>28</v>
      </c>
      <c r="G34" s="6">
        <v>16</v>
      </c>
      <c r="H34" s="6">
        <v>5.2</v>
      </c>
      <c r="I34" s="6">
        <v>10</v>
      </c>
      <c r="J34" s="6">
        <v>2</v>
      </c>
      <c r="K34" s="4">
        <f t="shared" si="0"/>
        <v>38.799999999999997</v>
      </c>
      <c r="L34" s="4">
        <f t="shared" si="1"/>
        <v>2.2222222222222223</v>
      </c>
      <c r="M34" s="4">
        <f t="shared" si="2"/>
        <v>477.28</v>
      </c>
      <c r="N34" s="4">
        <f t="shared" si="3"/>
        <v>420.11246222222223</v>
      </c>
      <c r="O34" s="4">
        <f t="shared" si="4"/>
        <v>390.99246222222223</v>
      </c>
      <c r="P34" s="4">
        <v>4000</v>
      </c>
      <c r="Q34" s="4">
        <v>185</v>
      </c>
      <c r="R34" s="4">
        <v>0</v>
      </c>
      <c r="S34" s="5" t="s">
        <v>306</v>
      </c>
      <c r="T34" s="5" t="s">
        <v>307</v>
      </c>
      <c r="U34" s="5" t="s">
        <v>72</v>
      </c>
      <c r="V34" s="5" t="s">
        <v>50</v>
      </c>
      <c r="W34" s="5" t="s">
        <v>127</v>
      </c>
    </row>
    <row r="35" spans="1:23" ht="105.4" x14ac:dyDescent="0.3">
      <c r="A35">
        <v>34</v>
      </c>
      <c r="B35" t="s">
        <v>308</v>
      </c>
      <c r="C35" t="s">
        <v>309</v>
      </c>
      <c r="D35" t="s">
        <v>80</v>
      </c>
      <c r="E35" s="3" t="s">
        <v>310</v>
      </c>
      <c r="F35" s="6">
        <v>14.5</v>
      </c>
      <c r="G35" s="6">
        <v>18</v>
      </c>
      <c r="H35" s="6">
        <v>5.5</v>
      </c>
      <c r="I35" s="6">
        <v>10</v>
      </c>
      <c r="J35" s="6">
        <v>3.5</v>
      </c>
      <c r="K35" s="4">
        <f t="shared" si="0"/>
        <v>48.5</v>
      </c>
      <c r="L35" s="4">
        <f t="shared" si="1"/>
        <v>3.8888888888888888</v>
      </c>
      <c r="M35" s="4">
        <f t="shared" si="2"/>
        <v>465.05</v>
      </c>
      <c r="N35" s="4">
        <f t="shared" si="3"/>
        <v>398.26365277777774</v>
      </c>
      <c r="O35" s="4">
        <f t="shared" si="4"/>
        <v>383.18365277777775</v>
      </c>
      <c r="P35" s="4">
        <v>4000</v>
      </c>
      <c r="Q35" s="4">
        <v>185</v>
      </c>
      <c r="R35" s="4">
        <v>0</v>
      </c>
      <c r="S35" s="5" t="s">
        <v>311</v>
      </c>
      <c r="T35" s="5" t="s">
        <v>312</v>
      </c>
      <c r="U35" s="5" t="s">
        <v>313</v>
      </c>
      <c r="V35" s="5" t="s">
        <v>314</v>
      </c>
      <c r="W35" s="5" t="s">
        <v>21</v>
      </c>
    </row>
    <row r="36" spans="1:23" ht="120.45" x14ac:dyDescent="0.3">
      <c r="A36">
        <v>35</v>
      </c>
      <c r="B36" t="s">
        <v>308</v>
      </c>
      <c r="C36" t="s">
        <v>309</v>
      </c>
      <c r="D36" t="s">
        <v>80</v>
      </c>
      <c r="E36" s="3" t="s">
        <v>315</v>
      </c>
      <c r="F36" s="6">
        <v>22</v>
      </c>
      <c r="G36" s="6">
        <v>16</v>
      </c>
      <c r="H36" s="6">
        <v>7.5</v>
      </c>
      <c r="I36" s="6">
        <v>10</v>
      </c>
      <c r="J36" s="6">
        <v>4</v>
      </c>
      <c r="K36" s="4">
        <f t="shared" si="0"/>
        <v>40.5</v>
      </c>
      <c r="L36" s="4">
        <f t="shared" si="1"/>
        <v>4.4444444444444446</v>
      </c>
      <c r="M36" s="4">
        <f t="shared" si="2"/>
        <v>458.25</v>
      </c>
      <c r="N36" s="4">
        <f t="shared" si="3"/>
        <v>388.79966666666667</v>
      </c>
      <c r="O36" s="4">
        <f t="shared" si="4"/>
        <v>365.91966666666667</v>
      </c>
      <c r="P36" s="4">
        <v>4000</v>
      </c>
      <c r="Q36" s="4">
        <v>185</v>
      </c>
      <c r="R36" s="4">
        <v>0</v>
      </c>
      <c r="S36" s="5" t="s">
        <v>316</v>
      </c>
      <c r="T36" s="5" t="s">
        <v>317</v>
      </c>
      <c r="U36" s="5" t="s">
        <v>313</v>
      </c>
      <c r="V36" s="5" t="s">
        <v>318</v>
      </c>
      <c r="W36" s="5" t="s">
        <v>319</v>
      </c>
    </row>
    <row r="37" spans="1:23" ht="180.65" x14ac:dyDescent="0.3">
      <c r="A37">
        <v>36</v>
      </c>
      <c r="B37" t="s">
        <v>320</v>
      </c>
      <c r="C37" t="s">
        <v>23</v>
      </c>
      <c r="D37" t="s">
        <v>80</v>
      </c>
      <c r="E37" s="3" t="s">
        <v>321</v>
      </c>
      <c r="F37" s="6">
        <v>25</v>
      </c>
      <c r="G37" s="6">
        <v>14</v>
      </c>
      <c r="H37" s="6">
        <v>6.5</v>
      </c>
      <c r="I37" s="6">
        <v>10</v>
      </c>
      <c r="J37" s="6">
        <v>2.5</v>
      </c>
      <c r="K37" s="4">
        <f t="shared" si="0"/>
        <v>42</v>
      </c>
      <c r="L37" s="4">
        <f t="shared" si="1"/>
        <v>2.7777777777777777</v>
      </c>
      <c r="M37" s="4">
        <f t="shared" si="2"/>
        <v>456.55</v>
      </c>
      <c r="N37" s="4">
        <f t="shared" si="3"/>
        <v>398.23841944444445</v>
      </c>
      <c r="O37" s="4">
        <f t="shared" si="4"/>
        <v>372.23841944444445</v>
      </c>
      <c r="P37" s="4">
        <v>4000</v>
      </c>
      <c r="Q37" s="4">
        <v>185</v>
      </c>
      <c r="R37" s="4">
        <v>0</v>
      </c>
      <c r="S37" s="5" t="s">
        <v>322</v>
      </c>
      <c r="T37" s="5" t="s">
        <v>323</v>
      </c>
      <c r="U37" s="5" t="s">
        <v>24</v>
      </c>
      <c r="V37" s="5" t="s">
        <v>324</v>
      </c>
      <c r="W37" s="5" t="s">
        <v>21</v>
      </c>
    </row>
    <row r="38" spans="1:23" ht="120.45" x14ac:dyDescent="0.3">
      <c r="A38">
        <v>37</v>
      </c>
      <c r="B38" t="s">
        <v>325</v>
      </c>
      <c r="C38" t="s">
        <v>23</v>
      </c>
      <c r="D38" t="s">
        <v>80</v>
      </c>
      <c r="E38" s="3" t="s">
        <v>326</v>
      </c>
      <c r="F38" s="6">
        <v>26</v>
      </c>
      <c r="G38" s="6">
        <v>16</v>
      </c>
      <c r="H38" s="6">
        <v>6</v>
      </c>
      <c r="I38" s="6">
        <v>10</v>
      </c>
      <c r="J38" s="6">
        <v>2.5</v>
      </c>
      <c r="K38" s="4">
        <f t="shared" si="0"/>
        <v>39.5</v>
      </c>
      <c r="L38" s="4">
        <f t="shared" si="1"/>
        <v>2.7777777777777777</v>
      </c>
      <c r="M38" s="4">
        <f t="shared" si="2"/>
        <v>470.8</v>
      </c>
      <c r="N38" s="4">
        <f t="shared" si="3"/>
        <v>410.66837777777778</v>
      </c>
      <c r="O38" s="4">
        <f t="shared" si="4"/>
        <v>383.62837777777776</v>
      </c>
      <c r="P38" s="4">
        <v>4000</v>
      </c>
      <c r="Q38" s="4">
        <v>185</v>
      </c>
      <c r="R38" s="4">
        <v>0</v>
      </c>
      <c r="S38" s="5" t="s">
        <v>327</v>
      </c>
      <c r="T38" s="5" t="s">
        <v>328</v>
      </c>
      <c r="U38" s="5" t="s">
        <v>329</v>
      </c>
      <c r="V38" s="5" t="s">
        <v>330</v>
      </c>
      <c r="W38" s="5" t="s">
        <v>21</v>
      </c>
    </row>
    <row r="39" spans="1:23" ht="105.4" x14ac:dyDescent="0.3">
      <c r="A39">
        <v>38</v>
      </c>
      <c r="B39" t="s">
        <v>331</v>
      </c>
      <c r="C39" t="s">
        <v>332</v>
      </c>
      <c r="D39" t="s">
        <v>80</v>
      </c>
      <c r="E39" s="3" t="s">
        <v>333</v>
      </c>
      <c r="F39" s="6">
        <v>23</v>
      </c>
      <c r="G39" s="6">
        <v>14</v>
      </c>
      <c r="H39" s="6">
        <v>9</v>
      </c>
      <c r="I39" s="6">
        <v>10</v>
      </c>
      <c r="J39" s="6">
        <v>4</v>
      </c>
      <c r="K39" s="4">
        <f t="shared" si="0"/>
        <v>40</v>
      </c>
      <c r="L39" s="4">
        <f t="shared" si="1"/>
        <v>4.4444444444444446</v>
      </c>
      <c r="M39" s="4">
        <f t="shared" si="2"/>
        <v>443.09999999999997</v>
      </c>
      <c r="N39" s="4">
        <f t="shared" si="3"/>
        <v>375.94573333333335</v>
      </c>
      <c r="O39" s="4">
        <f t="shared" si="4"/>
        <v>352.02573333333333</v>
      </c>
      <c r="P39" s="4">
        <v>4000</v>
      </c>
      <c r="Q39" s="4">
        <v>185</v>
      </c>
      <c r="R39" s="4">
        <v>0</v>
      </c>
      <c r="S39" s="5" t="s">
        <v>334</v>
      </c>
      <c r="T39" s="5" t="s">
        <v>335</v>
      </c>
      <c r="U39" s="5" t="s">
        <v>336</v>
      </c>
      <c r="V39" s="5" t="s">
        <v>337</v>
      </c>
      <c r="W39" s="5" t="s">
        <v>78</v>
      </c>
    </row>
    <row r="40" spans="1:23" ht="120.45" x14ac:dyDescent="0.3">
      <c r="A40">
        <v>39</v>
      </c>
      <c r="B40" t="s">
        <v>338</v>
      </c>
      <c r="C40" t="s">
        <v>332</v>
      </c>
      <c r="D40" t="s">
        <v>80</v>
      </c>
      <c r="E40" s="3" t="s">
        <v>22</v>
      </c>
      <c r="F40" s="6">
        <v>23</v>
      </c>
      <c r="G40" s="6">
        <v>13</v>
      </c>
      <c r="H40" s="6">
        <v>8.5</v>
      </c>
      <c r="I40" s="6">
        <v>10</v>
      </c>
      <c r="J40" s="6">
        <v>5</v>
      </c>
      <c r="K40" s="4">
        <f t="shared" si="0"/>
        <v>40.5</v>
      </c>
      <c r="L40" s="4">
        <f t="shared" si="1"/>
        <v>5.5555555555555554</v>
      </c>
      <c r="M40" s="4">
        <f t="shared" si="2"/>
        <v>439.85</v>
      </c>
      <c r="N40" s="4">
        <f t="shared" si="3"/>
        <v>366.19956111111117</v>
      </c>
      <c r="O40" s="4">
        <f t="shared" si="4"/>
        <v>342.27956111111115</v>
      </c>
      <c r="P40" s="4">
        <v>4000</v>
      </c>
      <c r="Q40" s="4">
        <v>185</v>
      </c>
      <c r="R40" s="4">
        <v>0</v>
      </c>
      <c r="S40" s="5" t="s">
        <v>339</v>
      </c>
      <c r="T40" s="5" t="s">
        <v>340</v>
      </c>
      <c r="U40" s="5" t="s">
        <v>79</v>
      </c>
      <c r="V40" s="5" t="s">
        <v>337</v>
      </c>
      <c r="W40" s="5" t="s">
        <v>78</v>
      </c>
    </row>
    <row r="41" spans="1:23" ht="135.5" x14ac:dyDescent="0.3">
      <c r="A41">
        <v>40</v>
      </c>
      <c r="B41" t="s">
        <v>341</v>
      </c>
      <c r="C41" t="s">
        <v>342</v>
      </c>
      <c r="D41" t="s">
        <v>80</v>
      </c>
      <c r="E41" s="3" t="s">
        <v>343</v>
      </c>
      <c r="F41" s="6">
        <v>16</v>
      </c>
      <c r="G41" s="6">
        <v>14</v>
      </c>
      <c r="H41" s="6">
        <v>7</v>
      </c>
      <c r="I41" s="6">
        <v>10</v>
      </c>
      <c r="J41" s="6">
        <v>3</v>
      </c>
      <c r="K41" s="4">
        <f t="shared" si="0"/>
        <v>50</v>
      </c>
      <c r="L41" s="4">
        <f t="shared" si="1"/>
        <v>3.3333333333333335</v>
      </c>
      <c r="M41" s="4">
        <f t="shared" si="2"/>
        <v>440.1</v>
      </c>
      <c r="N41" s="4">
        <f t="shared" si="3"/>
        <v>380.39310000000006</v>
      </c>
      <c r="O41" s="4">
        <f t="shared" si="4"/>
        <v>363.75310000000007</v>
      </c>
      <c r="P41" s="4">
        <v>4000</v>
      </c>
      <c r="Q41" s="4">
        <v>185</v>
      </c>
      <c r="R41" s="4">
        <v>0</v>
      </c>
      <c r="S41" s="5" t="s">
        <v>344</v>
      </c>
      <c r="T41" s="5" t="s">
        <v>63</v>
      </c>
      <c r="U41" s="5" t="s">
        <v>48</v>
      </c>
      <c r="V41" s="5" t="s">
        <v>62</v>
      </c>
      <c r="W41" s="5" t="s">
        <v>51</v>
      </c>
    </row>
    <row r="42" spans="1:23" x14ac:dyDescent="0.3">
      <c r="A42">
        <v>41</v>
      </c>
      <c r="B42" t="s">
        <v>368</v>
      </c>
      <c r="C42" t="s">
        <v>369</v>
      </c>
      <c r="D42" t="s">
        <v>370</v>
      </c>
      <c r="E42" t="s">
        <v>371</v>
      </c>
      <c r="F42" s="6">
        <v>21</v>
      </c>
      <c r="G42" s="6">
        <v>7</v>
      </c>
      <c r="H42" s="6">
        <v>7.5</v>
      </c>
      <c r="I42" s="6">
        <v>10</v>
      </c>
      <c r="J42" s="6">
        <v>4</v>
      </c>
      <c r="K42" s="4">
        <f t="shared" si="0"/>
        <v>50.5</v>
      </c>
      <c r="L42" s="4">
        <f t="shared" si="1"/>
        <v>4.4444444444444446</v>
      </c>
      <c r="M42" s="4">
        <f t="shared" si="2"/>
        <v>408.95</v>
      </c>
      <c r="N42" s="4">
        <f t="shared" si="3"/>
        <v>346.97135555555559</v>
      </c>
      <c r="O42" s="4">
        <f t="shared" si="4"/>
        <v>325.13135555555561</v>
      </c>
      <c r="P42" s="4">
        <v>4000</v>
      </c>
      <c r="Q42" s="4">
        <v>185</v>
      </c>
      <c r="R42">
        <v>1.5</v>
      </c>
      <c r="S42" t="s">
        <v>372</v>
      </c>
      <c r="T42" t="s">
        <v>373</v>
      </c>
      <c r="U42" t="s">
        <v>374</v>
      </c>
      <c r="V42" t="s">
        <v>375</v>
      </c>
      <c r="W42" t="s">
        <v>376</v>
      </c>
    </row>
    <row r="43" spans="1:23" x14ac:dyDescent="0.3">
      <c r="A43">
        <v>42</v>
      </c>
      <c r="B43" t="s">
        <v>444</v>
      </c>
      <c r="C43" t="s">
        <v>369</v>
      </c>
      <c r="D43" t="s">
        <v>370</v>
      </c>
      <c r="E43" t="s">
        <v>22</v>
      </c>
      <c r="F43" s="6">
        <v>18</v>
      </c>
      <c r="G43" s="6">
        <v>7</v>
      </c>
      <c r="H43" s="6">
        <v>8</v>
      </c>
      <c r="I43" s="6">
        <v>12</v>
      </c>
      <c r="J43" s="6">
        <v>6</v>
      </c>
      <c r="K43" s="4">
        <f t="shared" si="0"/>
        <v>49</v>
      </c>
      <c r="L43" s="4">
        <f t="shared" si="1"/>
        <v>6.8181818181818183</v>
      </c>
      <c r="M43" s="4">
        <f t="shared" si="2"/>
        <v>393.9</v>
      </c>
      <c r="N43" s="4">
        <f t="shared" si="3"/>
        <v>320.83154999999999</v>
      </c>
      <c r="O43" s="4">
        <f t="shared" si="4"/>
        <v>302.11154999999997</v>
      </c>
      <c r="P43" s="4">
        <v>4000</v>
      </c>
      <c r="Q43" s="4">
        <v>185</v>
      </c>
      <c r="R43">
        <v>1.29</v>
      </c>
      <c r="S43" t="s">
        <v>377</v>
      </c>
      <c r="T43" t="s">
        <v>378</v>
      </c>
      <c r="U43" t="s">
        <v>33</v>
      </c>
      <c r="V43" t="s">
        <v>379</v>
      </c>
      <c r="W43" t="s">
        <v>380</v>
      </c>
    </row>
    <row r="44" spans="1:23" x14ac:dyDescent="0.3">
      <c r="A44">
        <v>43</v>
      </c>
      <c r="B44" t="s">
        <v>381</v>
      </c>
      <c r="C44" t="s">
        <v>369</v>
      </c>
      <c r="D44" t="s">
        <v>370</v>
      </c>
      <c r="E44" t="s">
        <v>382</v>
      </c>
      <c r="F44" s="6">
        <v>21</v>
      </c>
      <c r="G44" s="6">
        <v>7</v>
      </c>
      <c r="H44" s="6">
        <v>10</v>
      </c>
      <c r="I44" s="6">
        <v>10</v>
      </c>
      <c r="J44" s="6">
        <v>4</v>
      </c>
      <c r="K44" s="4">
        <f t="shared" si="0"/>
        <v>48</v>
      </c>
      <c r="L44" s="4">
        <f t="shared" si="1"/>
        <v>4.4444444444444446</v>
      </c>
      <c r="M44" s="4">
        <f t="shared" si="2"/>
        <v>398.7</v>
      </c>
      <c r="N44" s="4">
        <f t="shared" si="3"/>
        <v>338.27480000000003</v>
      </c>
      <c r="O44" s="4">
        <f t="shared" si="4"/>
        <v>316.43480000000005</v>
      </c>
      <c r="P44" s="4">
        <v>4000</v>
      </c>
      <c r="Q44" s="4">
        <v>185</v>
      </c>
      <c r="R44">
        <v>1.36</v>
      </c>
      <c r="S44" t="s">
        <v>383</v>
      </c>
      <c r="T44" t="s">
        <v>384</v>
      </c>
      <c r="U44" t="s">
        <v>47</v>
      </c>
      <c r="V44" t="s">
        <v>385</v>
      </c>
      <c r="W44" t="s">
        <v>386</v>
      </c>
    </row>
    <row r="45" spans="1:23" x14ac:dyDescent="0.3">
      <c r="A45">
        <v>44</v>
      </c>
      <c r="B45" t="s">
        <v>387</v>
      </c>
      <c r="C45" t="s">
        <v>369</v>
      </c>
      <c r="D45" t="s">
        <v>370</v>
      </c>
      <c r="E45" t="s">
        <v>388</v>
      </c>
      <c r="F45" s="6">
        <v>25</v>
      </c>
      <c r="G45" s="6">
        <v>7</v>
      </c>
      <c r="H45" s="6">
        <v>10</v>
      </c>
      <c r="I45" s="6">
        <v>10</v>
      </c>
      <c r="J45" s="6">
        <v>5</v>
      </c>
      <c r="K45" s="4">
        <f t="shared" si="0"/>
        <v>43</v>
      </c>
      <c r="L45" s="4">
        <f t="shared" si="1"/>
        <v>5.5555555555555554</v>
      </c>
      <c r="M45" s="4">
        <f t="shared" si="2"/>
        <v>405.1</v>
      </c>
      <c r="N45" s="4">
        <f t="shared" si="3"/>
        <v>337.26825555555558</v>
      </c>
      <c r="O45" s="4">
        <f t="shared" si="4"/>
        <v>311.26825555555558</v>
      </c>
      <c r="P45" s="4">
        <v>4000</v>
      </c>
      <c r="Q45" s="4">
        <v>185</v>
      </c>
      <c r="R45">
        <v>2.58</v>
      </c>
      <c r="S45" t="s">
        <v>389</v>
      </c>
      <c r="T45" t="s">
        <v>384</v>
      </c>
      <c r="U45" t="s">
        <v>33</v>
      </c>
      <c r="V45" t="s">
        <v>390</v>
      </c>
      <c r="W45" t="s">
        <v>391</v>
      </c>
    </row>
    <row r="46" spans="1:23" x14ac:dyDescent="0.3">
      <c r="A46">
        <v>45</v>
      </c>
      <c r="B46" t="s">
        <v>392</v>
      </c>
      <c r="C46" t="s">
        <v>369</v>
      </c>
      <c r="D46" t="s">
        <v>370</v>
      </c>
      <c r="E46" t="s">
        <v>393</v>
      </c>
      <c r="F46" s="6">
        <v>23</v>
      </c>
      <c r="G46" s="6">
        <v>8</v>
      </c>
      <c r="H46" s="6">
        <v>10</v>
      </c>
      <c r="I46" s="6">
        <v>12</v>
      </c>
      <c r="J46" s="6">
        <v>4</v>
      </c>
      <c r="K46" s="4">
        <f t="shared" si="0"/>
        <v>43</v>
      </c>
      <c r="L46" s="4">
        <f t="shared" si="1"/>
        <v>4.5454545454545459</v>
      </c>
      <c r="M46" s="4">
        <f t="shared" si="2"/>
        <v>399</v>
      </c>
      <c r="N46" s="4">
        <f t="shared" si="3"/>
        <v>337.95300000000003</v>
      </c>
      <c r="O46" s="4">
        <f t="shared" si="4"/>
        <v>314.03300000000002</v>
      </c>
      <c r="P46" s="4">
        <v>4000</v>
      </c>
      <c r="Q46" s="4">
        <v>185</v>
      </c>
      <c r="R46">
        <v>6.87</v>
      </c>
      <c r="S46" t="s">
        <v>394</v>
      </c>
      <c r="T46" t="s">
        <v>395</v>
      </c>
      <c r="U46" t="s">
        <v>33</v>
      </c>
      <c r="V46" t="s">
        <v>396</v>
      </c>
      <c r="W46" t="s">
        <v>397</v>
      </c>
    </row>
    <row r="47" spans="1:23" x14ac:dyDescent="0.3">
      <c r="A47">
        <v>46</v>
      </c>
      <c r="B47" t="s">
        <v>392</v>
      </c>
      <c r="C47" t="s">
        <v>369</v>
      </c>
      <c r="D47" t="s">
        <v>370</v>
      </c>
      <c r="E47" t="s">
        <v>398</v>
      </c>
      <c r="F47" s="6">
        <v>21</v>
      </c>
      <c r="G47" s="6">
        <v>7</v>
      </c>
      <c r="H47" s="6">
        <v>8</v>
      </c>
      <c r="I47" s="6">
        <v>12</v>
      </c>
      <c r="J47" s="6">
        <v>4</v>
      </c>
      <c r="K47" s="4">
        <f t="shared" si="0"/>
        <v>48</v>
      </c>
      <c r="L47" s="4">
        <f t="shared" si="1"/>
        <v>4.5454545454545459</v>
      </c>
      <c r="M47" s="4">
        <f t="shared" si="2"/>
        <v>398.7</v>
      </c>
      <c r="N47" s="4">
        <f t="shared" si="3"/>
        <v>337.69889999999998</v>
      </c>
      <c r="O47" s="4">
        <f t="shared" si="4"/>
        <v>315.85890000000001</v>
      </c>
      <c r="P47" s="4">
        <v>4000</v>
      </c>
      <c r="Q47" s="4">
        <v>185</v>
      </c>
      <c r="R47">
        <v>6.5</v>
      </c>
      <c r="S47" t="s">
        <v>399</v>
      </c>
      <c r="T47" t="s">
        <v>395</v>
      </c>
      <c r="U47" t="s">
        <v>33</v>
      </c>
      <c r="V47" t="s">
        <v>400</v>
      </c>
      <c r="W47" t="s">
        <v>401</v>
      </c>
    </row>
    <row r="48" spans="1:23" x14ac:dyDescent="0.3">
      <c r="A48">
        <v>47</v>
      </c>
      <c r="B48" t="s">
        <v>392</v>
      </c>
      <c r="C48" t="s">
        <v>369</v>
      </c>
      <c r="D48" t="s">
        <v>370</v>
      </c>
      <c r="E48" t="s">
        <v>402</v>
      </c>
      <c r="F48" s="6">
        <v>27</v>
      </c>
      <c r="G48" s="6">
        <v>8</v>
      </c>
      <c r="H48" s="6">
        <v>8</v>
      </c>
      <c r="I48" s="6">
        <v>12</v>
      </c>
      <c r="J48" s="6">
        <v>3.5</v>
      </c>
      <c r="K48" s="4">
        <f t="shared" si="0"/>
        <v>41.5</v>
      </c>
      <c r="L48" s="4">
        <f t="shared" si="1"/>
        <v>3.9772727272727271</v>
      </c>
      <c r="M48" s="4">
        <f t="shared" si="2"/>
        <v>413.6</v>
      </c>
      <c r="N48" s="4">
        <f t="shared" si="3"/>
        <v>353.67970000000003</v>
      </c>
      <c r="O48" s="4">
        <f t="shared" si="4"/>
        <v>325.59970000000004</v>
      </c>
      <c r="P48" s="4">
        <v>4000</v>
      </c>
      <c r="Q48" s="4">
        <v>185</v>
      </c>
      <c r="R48">
        <v>3.5</v>
      </c>
      <c r="S48" t="s">
        <v>403</v>
      </c>
      <c r="T48" t="s">
        <v>404</v>
      </c>
      <c r="U48" t="s">
        <v>33</v>
      </c>
      <c r="V48" t="s">
        <v>396</v>
      </c>
      <c r="W48" t="s">
        <v>405</v>
      </c>
    </row>
    <row r="49" spans="1:23" x14ac:dyDescent="0.3">
      <c r="A49">
        <v>48</v>
      </c>
      <c r="B49" t="s">
        <v>392</v>
      </c>
      <c r="C49" t="s">
        <v>369</v>
      </c>
      <c r="D49" t="s">
        <v>370</v>
      </c>
      <c r="E49" t="s">
        <v>406</v>
      </c>
      <c r="F49" s="6">
        <v>29</v>
      </c>
      <c r="G49" s="6">
        <v>13</v>
      </c>
      <c r="H49" s="6">
        <v>8.5</v>
      </c>
      <c r="I49" s="6">
        <v>12</v>
      </c>
      <c r="J49" s="6">
        <v>3</v>
      </c>
      <c r="K49" s="4">
        <f t="shared" si="0"/>
        <v>34.5</v>
      </c>
      <c r="L49" s="4">
        <f t="shared" si="1"/>
        <v>3.4090909090909092</v>
      </c>
      <c r="M49" s="4">
        <f t="shared" si="2"/>
        <v>441.25</v>
      </c>
      <c r="N49" s="4">
        <f t="shared" si="3"/>
        <v>380.9090625</v>
      </c>
      <c r="O49" s="4">
        <f t="shared" si="4"/>
        <v>350.74906249999998</v>
      </c>
      <c r="P49" s="4">
        <v>4000</v>
      </c>
      <c r="Q49" s="4">
        <v>185</v>
      </c>
      <c r="R49">
        <v>4.93</v>
      </c>
      <c r="S49" t="s">
        <v>407</v>
      </c>
      <c r="T49" t="s">
        <v>408</v>
      </c>
      <c r="U49" t="s">
        <v>33</v>
      </c>
      <c r="V49" t="s">
        <v>396</v>
      </c>
      <c r="W49" t="s">
        <v>405</v>
      </c>
    </row>
    <row r="50" spans="1:23" x14ac:dyDescent="0.3">
      <c r="A50">
        <v>49</v>
      </c>
      <c r="B50" t="s">
        <v>409</v>
      </c>
      <c r="C50" t="s">
        <v>369</v>
      </c>
      <c r="D50" t="s">
        <v>370</v>
      </c>
      <c r="E50" t="s">
        <v>410</v>
      </c>
      <c r="F50" s="6">
        <v>23</v>
      </c>
      <c r="G50" s="6">
        <v>10</v>
      </c>
      <c r="H50" s="6">
        <v>9</v>
      </c>
      <c r="I50" s="6">
        <v>10</v>
      </c>
      <c r="J50" s="6">
        <v>4</v>
      </c>
      <c r="K50" s="4">
        <f t="shared" si="0"/>
        <v>44</v>
      </c>
      <c r="L50" s="4">
        <f t="shared" si="1"/>
        <v>4.4444444444444446</v>
      </c>
      <c r="M50" s="4">
        <f t="shared" si="2"/>
        <v>421.9</v>
      </c>
      <c r="N50" s="4">
        <f t="shared" si="3"/>
        <v>357.95871111111114</v>
      </c>
      <c r="O50" s="4">
        <f t="shared" si="4"/>
        <v>334.03871111111113</v>
      </c>
      <c r="P50" s="4">
        <v>4000</v>
      </c>
      <c r="Q50" s="4">
        <v>185</v>
      </c>
      <c r="R50">
        <v>14</v>
      </c>
      <c r="S50" t="s">
        <v>411</v>
      </c>
      <c r="T50" t="s">
        <v>412</v>
      </c>
      <c r="U50" t="s">
        <v>48</v>
      </c>
      <c r="V50" t="s">
        <v>49</v>
      </c>
      <c r="W50" t="s">
        <v>413</v>
      </c>
    </row>
    <row r="51" spans="1:23" x14ac:dyDescent="0.3">
      <c r="A51">
        <v>50</v>
      </c>
      <c r="B51" t="s">
        <v>409</v>
      </c>
      <c r="C51" t="s">
        <v>369</v>
      </c>
      <c r="D51" t="s">
        <v>370</v>
      </c>
      <c r="E51" t="s">
        <v>414</v>
      </c>
      <c r="F51" s="6">
        <v>28</v>
      </c>
      <c r="G51" s="6">
        <v>10</v>
      </c>
      <c r="H51" s="6">
        <v>9</v>
      </c>
      <c r="I51" s="6">
        <v>10</v>
      </c>
      <c r="J51" s="6">
        <v>4</v>
      </c>
      <c r="K51" s="4">
        <f t="shared" si="0"/>
        <v>39</v>
      </c>
      <c r="L51" s="4">
        <f t="shared" si="1"/>
        <v>4.4444444444444446</v>
      </c>
      <c r="M51" s="4">
        <f t="shared" si="2"/>
        <v>429.9</v>
      </c>
      <c r="N51" s="4">
        <f t="shared" si="3"/>
        <v>364.74626666666666</v>
      </c>
      <c r="O51" s="4">
        <f t="shared" si="4"/>
        <v>335.62626666666665</v>
      </c>
      <c r="P51" s="4">
        <v>4000</v>
      </c>
      <c r="Q51" s="4">
        <v>185</v>
      </c>
      <c r="R51">
        <v>9.56</v>
      </c>
      <c r="S51" t="s">
        <v>411</v>
      </c>
      <c r="T51" t="s">
        <v>412</v>
      </c>
      <c r="U51" t="s">
        <v>48</v>
      </c>
      <c r="V51" t="s">
        <v>49</v>
      </c>
      <c r="W51" t="s">
        <v>413</v>
      </c>
    </row>
    <row r="52" spans="1:23" x14ac:dyDescent="0.3">
      <c r="A52">
        <v>51</v>
      </c>
      <c r="B52" t="s">
        <v>409</v>
      </c>
      <c r="C52" t="s">
        <v>369</v>
      </c>
      <c r="D52" t="s">
        <v>370</v>
      </c>
      <c r="E52" t="s">
        <v>415</v>
      </c>
      <c r="F52" s="6">
        <v>28</v>
      </c>
      <c r="G52" s="6">
        <v>13</v>
      </c>
      <c r="H52" s="6">
        <v>9.5</v>
      </c>
      <c r="I52" s="6">
        <v>10</v>
      </c>
      <c r="J52" s="6">
        <v>4</v>
      </c>
      <c r="K52" s="4">
        <f t="shared" si="0"/>
        <v>35.5</v>
      </c>
      <c r="L52" s="4">
        <f t="shared" si="1"/>
        <v>4.4444444444444446</v>
      </c>
      <c r="M52" s="4">
        <f t="shared" si="2"/>
        <v>443.75</v>
      </c>
      <c r="N52" s="4">
        <f t="shared" si="3"/>
        <v>376.49722222222226</v>
      </c>
      <c r="O52" s="4">
        <f t="shared" si="4"/>
        <v>347.37722222222226</v>
      </c>
      <c r="P52" s="4">
        <v>4000</v>
      </c>
      <c r="Q52" s="4">
        <v>185</v>
      </c>
      <c r="R52">
        <v>8.4</v>
      </c>
      <c r="S52" t="s">
        <v>416</v>
      </c>
      <c r="T52" t="s">
        <v>412</v>
      </c>
      <c r="U52" t="s">
        <v>48</v>
      </c>
      <c r="V52" t="s">
        <v>49</v>
      </c>
      <c r="W52" t="s">
        <v>413</v>
      </c>
    </row>
    <row r="53" spans="1:23" x14ac:dyDescent="0.3">
      <c r="A53">
        <v>52</v>
      </c>
      <c r="B53" t="s">
        <v>445</v>
      </c>
      <c r="C53" t="s">
        <v>446</v>
      </c>
      <c r="D53" t="s">
        <v>370</v>
      </c>
      <c r="E53" t="s">
        <v>447</v>
      </c>
      <c r="F53" s="6">
        <v>22</v>
      </c>
      <c r="G53" s="6">
        <v>6</v>
      </c>
      <c r="H53" s="6">
        <v>8</v>
      </c>
      <c r="I53" s="6">
        <v>12</v>
      </c>
      <c r="J53" s="6">
        <v>4</v>
      </c>
      <c r="K53" s="4">
        <f t="shared" si="0"/>
        <v>48</v>
      </c>
      <c r="L53" s="4">
        <f t="shared" si="1"/>
        <v>4.5454545454545459</v>
      </c>
      <c r="M53" s="4">
        <f t="shared" si="2"/>
        <v>395</v>
      </c>
      <c r="N53" s="4">
        <f t="shared" si="3"/>
        <v>334.565</v>
      </c>
      <c r="O53" s="4">
        <f t="shared" si="4"/>
        <v>311.685</v>
      </c>
      <c r="P53" s="4">
        <v>4000</v>
      </c>
      <c r="Q53" s="4">
        <v>185</v>
      </c>
      <c r="R53" s="1">
        <v>2.93</v>
      </c>
      <c r="S53" t="s">
        <v>448</v>
      </c>
      <c r="T53" t="s">
        <v>449</v>
      </c>
      <c r="U53" t="s">
        <v>450</v>
      </c>
      <c r="V53" t="s">
        <v>451</v>
      </c>
      <c r="W53" t="s">
        <v>21</v>
      </c>
    </row>
    <row r="54" spans="1:23" x14ac:dyDescent="0.3">
      <c r="A54">
        <v>53</v>
      </c>
      <c r="B54" t="s">
        <v>452</v>
      </c>
      <c r="C54" t="s">
        <v>453</v>
      </c>
      <c r="D54" t="s">
        <v>370</v>
      </c>
      <c r="E54" t="s">
        <v>454</v>
      </c>
      <c r="F54" s="6">
        <v>27</v>
      </c>
      <c r="G54" s="6">
        <v>15</v>
      </c>
      <c r="H54" s="6">
        <v>9</v>
      </c>
      <c r="I54" s="6">
        <v>10</v>
      </c>
      <c r="J54" s="6">
        <v>6</v>
      </c>
      <c r="K54" s="4">
        <f t="shared" si="0"/>
        <v>33</v>
      </c>
      <c r="L54" s="4">
        <f t="shared" si="1"/>
        <v>6.666666666666667</v>
      </c>
      <c r="M54" s="4">
        <f t="shared" si="2"/>
        <v>454.79999999999995</v>
      </c>
      <c r="N54" s="4">
        <f t="shared" si="3"/>
        <v>371.42</v>
      </c>
      <c r="O54" s="4">
        <f t="shared" si="4"/>
        <v>343.34000000000003</v>
      </c>
      <c r="P54" s="4">
        <v>4000</v>
      </c>
      <c r="Q54" s="4">
        <v>185</v>
      </c>
      <c r="R54" s="1">
        <v>12.5</v>
      </c>
      <c r="S54" t="s">
        <v>455</v>
      </c>
      <c r="T54" t="s">
        <v>449</v>
      </c>
      <c r="U54" t="s">
        <v>450</v>
      </c>
      <c r="V54" t="s">
        <v>456</v>
      </c>
      <c r="W54" t="s">
        <v>21</v>
      </c>
    </row>
    <row r="55" spans="1:23" x14ac:dyDescent="0.3">
      <c r="A55">
        <v>54</v>
      </c>
      <c r="B55" t="s">
        <v>457</v>
      </c>
      <c r="C55" t="s">
        <v>453</v>
      </c>
      <c r="D55" t="s">
        <v>370</v>
      </c>
      <c r="E55" t="s">
        <v>458</v>
      </c>
      <c r="F55" s="6">
        <v>25</v>
      </c>
      <c r="G55" s="6">
        <v>9</v>
      </c>
      <c r="H55" s="6">
        <v>9</v>
      </c>
      <c r="I55" s="6">
        <v>12</v>
      </c>
      <c r="J55" s="6">
        <v>3</v>
      </c>
      <c r="K55" s="4">
        <f t="shared" si="0"/>
        <v>42</v>
      </c>
      <c r="L55" s="4">
        <f t="shared" si="1"/>
        <v>3.4090909090909092</v>
      </c>
      <c r="M55" s="4">
        <f t="shared" si="2"/>
        <v>411.6</v>
      </c>
      <c r="N55" s="4">
        <f t="shared" si="3"/>
        <v>355.31370000000004</v>
      </c>
      <c r="O55" s="4">
        <f t="shared" si="4"/>
        <v>329.31370000000004</v>
      </c>
      <c r="P55" s="4">
        <v>4000</v>
      </c>
      <c r="Q55" s="4">
        <v>185</v>
      </c>
      <c r="R55" s="1">
        <v>1.72</v>
      </c>
      <c r="S55" t="s">
        <v>459</v>
      </c>
      <c r="T55" t="s">
        <v>378</v>
      </c>
      <c r="U55" t="s">
        <v>460</v>
      </c>
      <c r="V55" t="s">
        <v>461</v>
      </c>
      <c r="W55" t="s">
        <v>462</v>
      </c>
    </row>
    <row r="56" spans="1:23" x14ac:dyDescent="0.3">
      <c r="A56">
        <v>55</v>
      </c>
      <c r="B56" t="s">
        <v>463</v>
      </c>
      <c r="C56" t="s">
        <v>446</v>
      </c>
      <c r="D56" t="s">
        <v>370</v>
      </c>
      <c r="E56" t="s">
        <v>20</v>
      </c>
      <c r="F56" s="6">
        <v>18</v>
      </c>
      <c r="G56" s="6">
        <v>7</v>
      </c>
      <c r="H56" s="6">
        <v>7</v>
      </c>
      <c r="I56" s="6">
        <v>10</v>
      </c>
      <c r="J56" s="6">
        <v>5</v>
      </c>
      <c r="K56" s="4">
        <f t="shared" si="0"/>
        <v>53</v>
      </c>
      <c r="L56" s="4">
        <f t="shared" si="1"/>
        <v>5.5555555555555554</v>
      </c>
      <c r="M56" s="4">
        <f t="shared" si="2"/>
        <v>406.2</v>
      </c>
      <c r="N56" s="4">
        <f t="shared" si="3"/>
        <v>338.18406666666669</v>
      </c>
      <c r="O56" s="4">
        <f t="shared" si="4"/>
        <v>319.46406666666667</v>
      </c>
      <c r="P56" s="4">
        <v>4000</v>
      </c>
      <c r="Q56" s="4">
        <v>185</v>
      </c>
      <c r="R56" s="1">
        <v>1.06</v>
      </c>
      <c r="S56" t="s">
        <v>464</v>
      </c>
      <c r="T56" t="s">
        <v>465</v>
      </c>
      <c r="U56" t="s">
        <v>466</v>
      </c>
      <c r="V56" t="s">
        <v>467</v>
      </c>
      <c r="W56" t="s">
        <v>56</v>
      </c>
    </row>
    <row r="57" spans="1:23" x14ac:dyDescent="0.3">
      <c r="A57">
        <v>56</v>
      </c>
      <c r="B57" t="s">
        <v>482</v>
      </c>
      <c r="C57" t="s">
        <v>483</v>
      </c>
      <c r="D57" t="s">
        <v>370</v>
      </c>
      <c r="E57" t="s">
        <v>484</v>
      </c>
      <c r="F57" s="6">
        <v>32</v>
      </c>
      <c r="G57" s="6">
        <v>18</v>
      </c>
      <c r="H57" s="6">
        <v>8.8000000000000007</v>
      </c>
      <c r="I57" s="6">
        <v>10</v>
      </c>
      <c r="J57" s="6">
        <v>4</v>
      </c>
      <c r="K57" s="4">
        <f t="shared" si="0"/>
        <v>27.200000000000003</v>
      </c>
      <c r="L57" s="4">
        <f t="shared" si="1"/>
        <v>4.4444444444444446</v>
      </c>
      <c r="M57" s="4">
        <f t="shared" si="2"/>
        <v>479.52000000000004</v>
      </c>
      <c r="N57" s="4">
        <f t="shared" si="3"/>
        <v>406.84608000000009</v>
      </c>
      <c r="O57" s="4">
        <f t="shared" si="4"/>
        <v>373.56608000000006</v>
      </c>
      <c r="P57" s="4">
        <v>4000</v>
      </c>
      <c r="Q57" s="4">
        <v>185</v>
      </c>
      <c r="R57" s="1">
        <v>9</v>
      </c>
      <c r="S57" t="s">
        <v>485</v>
      </c>
      <c r="T57" t="s">
        <v>486</v>
      </c>
      <c r="U57" t="s">
        <v>55</v>
      </c>
      <c r="V57" t="s">
        <v>487</v>
      </c>
      <c r="W57" t="s">
        <v>21</v>
      </c>
    </row>
    <row r="58" spans="1:23" x14ac:dyDescent="0.3">
      <c r="A58">
        <v>57</v>
      </c>
      <c r="B58" t="s">
        <v>488</v>
      </c>
      <c r="C58" t="s">
        <v>483</v>
      </c>
      <c r="D58" t="s">
        <v>370</v>
      </c>
      <c r="E58" t="s">
        <v>20</v>
      </c>
      <c r="F58" s="6">
        <v>32</v>
      </c>
      <c r="G58" s="6">
        <v>18</v>
      </c>
      <c r="H58" s="6">
        <v>8</v>
      </c>
      <c r="I58" s="6">
        <v>10</v>
      </c>
      <c r="J58" s="6">
        <v>4</v>
      </c>
      <c r="K58" s="4">
        <f t="shared" si="0"/>
        <v>28</v>
      </c>
      <c r="L58" s="4">
        <f t="shared" si="1"/>
        <v>4.4444444444444446</v>
      </c>
      <c r="M58" s="4">
        <f t="shared" si="2"/>
        <v>482.8</v>
      </c>
      <c r="N58" s="4">
        <f t="shared" si="3"/>
        <v>409.62897777777783</v>
      </c>
      <c r="O58" s="4">
        <f t="shared" si="4"/>
        <v>376.3489777777778</v>
      </c>
      <c r="P58" s="4">
        <v>4000</v>
      </c>
      <c r="Q58" s="4">
        <v>185</v>
      </c>
      <c r="R58" s="1">
        <v>11.66</v>
      </c>
      <c r="S58" t="s">
        <v>489</v>
      </c>
      <c r="T58" t="s">
        <v>490</v>
      </c>
      <c r="U58" t="s">
        <v>55</v>
      </c>
      <c r="V58" t="s">
        <v>491</v>
      </c>
      <c r="W58" t="s">
        <v>492</v>
      </c>
    </row>
    <row r="59" spans="1:23" x14ac:dyDescent="0.3">
      <c r="A59">
        <v>58</v>
      </c>
      <c r="B59" t="s">
        <v>32</v>
      </c>
      <c r="C59" t="s">
        <v>32</v>
      </c>
      <c r="D59" t="s">
        <v>370</v>
      </c>
      <c r="E59" t="s">
        <v>305</v>
      </c>
      <c r="F59" s="6">
        <v>28</v>
      </c>
      <c r="G59" s="6">
        <v>14</v>
      </c>
      <c r="H59" s="6">
        <v>5.0999999999999996</v>
      </c>
      <c r="I59" s="6">
        <v>10</v>
      </c>
      <c r="J59" s="6">
        <v>2.1</v>
      </c>
      <c r="K59" s="4">
        <f t="shared" ref="K59:K66" si="5">100-(F59+G59+H59+I59+J59)</f>
        <v>40.799999999999997</v>
      </c>
      <c r="L59" s="4">
        <f t="shared" ref="L59:L66" si="6">(100*J59)/(100-I59)</f>
        <v>2.3333333333333335</v>
      </c>
      <c r="M59" s="4">
        <f t="shared" ref="M59:M66" si="7">(5.7*F59)+(9.4*G59)+(4.1*(K59+J59))</f>
        <v>467.09</v>
      </c>
      <c r="N59" s="4">
        <f t="shared" ref="N59:N66" si="8">((91.2-(1.43*L59))*M59)/100</f>
        <v>410.40084366666662</v>
      </c>
      <c r="O59" s="4">
        <f t="shared" si="4"/>
        <v>381.28084366666661</v>
      </c>
      <c r="P59" s="4">
        <v>4000</v>
      </c>
      <c r="Q59" s="4">
        <v>185</v>
      </c>
      <c r="R59" s="1">
        <v>27.17</v>
      </c>
      <c r="S59" t="s">
        <v>497</v>
      </c>
      <c r="T59" t="s">
        <v>498</v>
      </c>
      <c r="U59" t="s">
        <v>499</v>
      </c>
      <c r="V59" t="s">
        <v>500</v>
      </c>
      <c r="W59" t="s">
        <v>60</v>
      </c>
    </row>
    <row r="60" spans="1:23" x14ac:dyDescent="0.3">
      <c r="A60">
        <v>59</v>
      </c>
      <c r="B60" t="s">
        <v>537</v>
      </c>
      <c r="C60" t="s">
        <v>538</v>
      </c>
      <c r="D60" t="s">
        <v>370</v>
      </c>
      <c r="E60" t="s">
        <v>539</v>
      </c>
      <c r="F60" s="6">
        <v>26</v>
      </c>
      <c r="G60" s="6">
        <v>12</v>
      </c>
      <c r="H60" s="6">
        <v>8.5</v>
      </c>
      <c r="I60" s="6">
        <v>12</v>
      </c>
      <c r="J60" s="6">
        <v>4</v>
      </c>
      <c r="K60" s="4">
        <f t="shared" si="5"/>
        <v>37.5</v>
      </c>
      <c r="L60" s="4">
        <f t="shared" si="6"/>
        <v>4.5454545454545459</v>
      </c>
      <c r="M60" s="4">
        <f t="shared" si="7"/>
        <v>431.15</v>
      </c>
      <c r="N60" s="4">
        <f t="shared" si="8"/>
        <v>365.18405000000001</v>
      </c>
      <c r="O60" s="4">
        <f t="shared" si="4"/>
        <v>338.14404999999999</v>
      </c>
      <c r="P60" s="4">
        <v>4000</v>
      </c>
      <c r="Q60" s="4">
        <v>185</v>
      </c>
      <c r="R60" s="1">
        <v>6.33</v>
      </c>
      <c r="S60" t="s">
        <v>540</v>
      </c>
      <c r="T60" t="s">
        <v>541</v>
      </c>
      <c r="U60" t="s">
        <v>68</v>
      </c>
      <c r="V60" t="s">
        <v>542</v>
      </c>
      <c r="W60" t="s">
        <v>543</v>
      </c>
    </row>
    <row r="61" spans="1:23" x14ac:dyDescent="0.3">
      <c r="A61">
        <v>60</v>
      </c>
      <c r="B61" t="s">
        <v>537</v>
      </c>
      <c r="C61" t="s">
        <v>538</v>
      </c>
      <c r="D61" t="s">
        <v>370</v>
      </c>
      <c r="E61" t="s">
        <v>544</v>
      </c>
      <c r="F61" s="6">
        <v>29</v>
      </c>
      <c r="G61" s="6">
        <v>17</v>
      </c>
      <c r="H61" s="6">
        <v>9</v>
      </c>
      <c r="I61" s="6">
        <v>12</v>
      </c>
      <c r="J61" s="6">
        <v>3</v>
      </c>
      <c r="K61" s="4">
        <f t="shared" si="5"/>
        <v>30</v>
      </c>
      <c r="L61" s="4">
        <f t="shared" si="6"/>
        <v>3.4090909090909092</v>
      </c>
      <c r="M61" s="4">
        <f t="shared" si="7"/>
        <v>460.4</v>
      </c>
      <c r="N61" s="4">
        <f t="shared" si="8"/>
        <v>397.44029999999998</v>
      </c>
      <c r="O61" s="4">
        <f t="shared" si="4"/>
        <v>367.28029999999995</v>
      </c>
      <c r="P61" s="4">
        <v>4000</v>
      </c>
      <c r="Q61" s="4">
        <v>185</v>
      </c>
      <c r="R61" s="1">
        <v>10.67</v>
      </c>
      <c r="S61" t="s">
        <v>545</v>
      </c>
      <c r="T61" t="s">
        <v>546</v>
      </c>
      <c r="U61" t="s">
        <v>442</v>
      </c>
      <c r="V61" t="s">
        <v>547</v>
      </c>
      <c r="W61" t="s">
        <v>548</v>
      </c>
    </row>
    <row r="62" spans="1:23" x14ac:dyDescent="0.3">
      <c r="A62">
        <v>61</v>
      </c>
      <c r="B62" t="s">
        <v>549</v>
      </c>
      <c r="C62" t="s">
        <v>538</v>
      </c>
      <c r="D62" t="s">
        <v>370</v>
      </c>
      <c r="E62" t="s">
        <v>484</v>
      </c>
      <c r="F62" s="6">
        <v>23</v>
      </c>
      <c r="G62" s="6">
        <v>10</v>
      </c>
      <c r="H62" s="6">
        <v>6</v>
      </c>
      <c r="I62" s="6">
        <v>10</v>
      </c>
      <c r="J62" s="6">
        <v>2.5</v>
      </c>
      <c r="K62" s="4">
        <f t="shared" si="5"/>
        <v>48.5</v>
      </c>
      <c r="L62" s="4">
        <f t="shared" si="6"/>
        <v>2.7777777777777777</v>
      </c>
      <c r="M62" s="4">
        <f t="shared" si="7"/>
        <v>434.2</v>
      </c>
      <c r="N62" s="4">
        <f t="shared" si="8"/>
        <v>378.74301111111112</v>
      </c>
      <c r="O62" s="4">
        <f t="shared" si="4"/>
        <v>354.8230111111111</v>
      </c>
      <c r="P62" s="4">
        <v>4000</v>
      </c>
      <c r="Q62" s="4">
        <v>185</v>
      </c>
      <c r="R62" s="1">
        <v>12</v>
      </c>
      <c r="S62" t="s">
        <v>550</v>
      </c>
      <c r="T62" t="s">
        <v>551</v>
      </c>
      <c r="U62" t="s">
        <v>499</v>
      </c>
      <c r="V62" t="s">
        <v>552</v>
      </c>
      <c r="W62" t="s">
        <v>553</v>
      </c>
    </row>
    <row r="63" spans="1:23" x14ac:dyDescent="0.3">
      <c r="A63">
        <v>62</v>
      </c>
      <c r="B63" t="s">
        <v>554</v>
      </c>
      <c r="C63" t="s">
        <v>554</v>
      </c>
      <c r="D63" t="s">
        <v>370</v>
      </c>
      <c r="E63" t="s">
        <v>20</v>
      </c>
      <c r="F63" s="6">
        <v>22</v>
      </c>
      <c r="G63" s="6">
        <v>12</v>
      </c>
      <c r="H63" s="6">
        <v>9.3000000000000007</v>
      </c>
      <c r="I63" s="6">
        <v>10</v>
      </c>
      <c r="J63" s="6">
        <v>5.5</v>
      </c>
      <c r="K63" s="4">
        <f t="shared" si="5"/>
        <v>41.2</v>
      </c>
      <c r="L63" s="4">
        <f t="shared" si="6"/>
        <v>6.1111111111111107</v>
      </c>
      <c r="M63" s="4">
        <f t="shared" si="7"/>
        <v>429.67</v>
      </c>
      <c r="N63" s="4">
        <f t="shared" si="8"/>
        <v>354.31065611111109</v>
      </c>
      <c r="O63" s="4">
        <f t="shared" si="4"/>
        <v>331.43065611111109</v>
      </c>
      <c r="P63" s="4">
        <v>4000</v>
      </c>
      <c r="Q63" s="4">
        <v>185</v>
      </c>
      <c r="R63" s="1">
        <v>3.61</v>
      </c>
      <c r="S63" t="s">
        <v>555</v>
      </c>
      <c r="T63" t="s">
        <v>556</v>
      </c>
      <c r="U63" t="s">
        <v>557</v>
      </c>
      <c r="V63" t="s">
        <v>558</v>
      </c>
      <c r="W63" t="s">
        <v>559</v>
      </c>
    </row>
    <row r="64" spans="1:23" x14ac:dyDescent="0.3">
      <c r="A64">
        <v>63</v>
      </c>
      <c r="B64" t="s">
        <v>560</v>
      </c>
      <c r="C64" t="s">
        <v>554</v>
      </c>
      <c r="D64" t="s">
        <v>370</v>
      </c>
      <c r="E64" t="s">
        <v>20</v>
      </c>
      <c r="F64" s="6">
        <v>22</v>
      </c>
      <c r="G64" s="6">
        <v>12</v>
      </c>
      <c r="H64" s="6">
        <v>7</v>
      </c>
      <c r="I64" s="6">
        <v>10</v>
      </c>
      <c r="J64" s="6">
        <v>6</v>
      </c>
      <c r="K64" s="4">
        <f t="shared" si="5"/>
        <v>43</v>
      </c>
      <c r="L64" s="4">
        <f t="shared" si="6"/>
        <v>6.666666666666667</v>
      </c>
      <c r="M64" s="4">
        <f t="shared" si="7"/>
        <v>439.1</v>
      </c>
      <c r="N64" s="4">
        <f t="shared" si="8"/>
        <v>358.59833333333336</v>
      </c>
      <c r="O64" s="4">
        <f t="shared" si="4"/>
        <v>335.71833333333336</v>
      </c>
      <c r="P64" s="4">
        <v>4000</v>
      </c>
      <c r="Q64" s="4">
        <v>185</v>
      </c>
      <c r="R64" s="1">
        <v>20</v>
      </c>
      <c r="S64" t="s">
        <v>561</v>
      </c>
      <c r="T64" t="s">
        <v>562</v>
      </c>
      <c r="U64" t="s">
        <v>557</v>
      </c>
      <c r="V64" t="s">
        <v>563</v>
      </c>
      <c r="W64" t="s">
        <v>564</v>
      </c>
    </row>
    <row r="65" spans="1:23" x14ac:dyDescent="0.3">
      <c r="A65">
        <v>64</v>
      </c>
      <c r="B65" t="s">
        <v>565</v>
      </c>
      <c r="C65" t="s">
        <v>554</v>
      </c>
      <c r="D65" t="s">
        <v>370</v>
      </c>
      <c r="E65" t="s">
        <v>566</v>
      </c>
      <c r="F65" s="6">
        <v>30</v>
      </c>
      <c r="G65" s="6">
        <v>20</v>
      </c>
      <c r="H65" s="6">
        <v>8</v>
      </c>
      <c r="I65" s="6">
        <v>10</v>
      </c>
      <c r="J65" s="6">
        <v>4</v>
      </c>
      <c r="K65" s="4">
        <f t="shared" si="5"/>
        <v>28</v>
      </c>
      <c r="L65" s="4">
        <f t="shared" si="6"/>
        <v>4.4444444444444446</v>
      </c>
      <c r="M65" s="4">
        <f t="shared" si="7"/>
        <v>490.2</v>
      </c>
      <c r="N65" s="4">
        <f t="shared" si="8"/>
        <v>415.90746666666666</v>
      </c>
      <c r="O65" s="4">
        <f t="shared" si="4"/>
        <v>384.70746666666668</v>
      </c>
      <c r="P65" s="4">
        <v>4000</v>
      </c>
      <c r="Q65" s="4">
        <v>185</v>
      </c>
      <c r="R65" s="1">
        <v>22</v>
      </c>
      <c r="S65" t="s">
        <v>567</v>
      </c>
      <c r="T65" t="s">
        <v>568</v>
      </c>
      <c r="U65" t="s">
        <v>557</v>
      </c>
      <c r="V65" t="s">
        <v>563</v>
      </c>
      <c r="W65" t="s">
        <v>564</v>
      </c>
    </row>
    <row r="66" spans="1:23" x14ac:dyDescent="0.3">
      <c r="A66">
        <v>65</v>
      </c>
      <c r="B66" t="s">
        <v>537</v>
      </c>
      <c r="C66" t="s">
        <v>538</v>
      </c>
      <c r="D66" t="s">
        <v>370</v>
      </c>
      <c r="E66" t="s">
        <v>604</v>
      </c>
      <c r="F66" s="6">
        <v>26</v>
      </c>
      <c r="G66" s="6">
        <v>15</v>
      </c>
      <c r="H66" s="6">
        <v>8.5</v>
      </c>
      <c r="I66" s="6">
        <v>12</v>
      </c>
      <c r="J66" s="6">
        <v>3</v>
      </c>
      <c r="K66" s="4">
        <f t="shared" si="5"/>
        <v>35.5</v>
      </c>
      <c r="L66" s="4">
        <f t="shared" si="6"/>
        <v>3.4090909090909092</v>
      </c>
      <c r="M66" s="4">
        <f t="shared" si="7"/>
        <v>447.05000000000007</v>
      </c>
      <c r="N66" s="4">
        <f t="shared" si="8"/>
        <v>385.91591250000005</v>
      </c>
      <c r="O66" s="4">
        <f t="shared" si="4"/>
        <v>358.87591250000003</v>
      </c>
      <c r="P66" s="4">
        <v>4000</v>
      </c>
      <c r="Q66" s="4">
        <v>185</v>
      </c>
      <c r="R66" s="1">
        <v>7.17</v>
      </c>
      <c r="S66" t="s">
        <v>569</v>
      </c>
      <c r="T66" t="s">
        <v>570</v>
      </c>
      <c r="U66" t="s">
        <v>33</v>
      </c>
      <c r="V66" t="s">
        <v>542</v>
      </c>
      <c r="W66" t="s">
        <v>571</v>
      </c>
    </row>
    <row r="67" spans="1:23" x14ac:dyDescent="0.3">
      <c r="A67">
        <v>66</v>
      </c>
      <c r="B67" t="s">
        <v>606</v>
      </c>
      <c r="C67" t="s">
        <v>639</v>
      </c>
      <c r="D67" t="s">
        <v>370</v>
      </c>
      <c r="E67" t="s">
        <v>484</v>
      </c>
      <c r="F67" s="1">
        <v>20</v>
      </c>
      <c r="G67" s="1">
        <v>6</v>
      </c>
      <c r="H67" s="1">
        <v>8</v>
      </c>
      <c r="I67" s="1">
        <v>12</v>
      </c>
      <c r="J67" s="1">
        <v>5</v>
      </c>
      <c r="K67" s="4">
        <f t="shared" ref="K67:K117" si="9">100-(F67+G67+H67+I67+J67)</f>
        <v>49</v>
      </c>
      <c r="L67" s="4">
        <f t="shared" ref="L67:L117" si="10">(100*J67)/(100-I67)</f>
        <v>5.6818181818181817</v>
      </c>
      <c r="M67" s="4">
        <f t="shared" ref="M67:M117" si="11">(5.7*F67)+(9.4*G67)+(4.1*(K67+J67))</f>
        <v>391.79999999999995</v>
      </c>
      <c r="N67" s="4">
        <f t="shared" ref="N67:N117" si="12">((91.2-(1.43*L67))*M67)/100</f>
        <v>325.48784999999998</v>
      </c>
      <c r="O67" s="4">
        <f t="shared" ref="O67:O117" si="13">N67-(1.04*F67)</f>
        <v>304.68784999999997</v>
      </c>
      <c r="P67" s="4">
        <v>4000</v>
      </c>
      <c r="Q67" s="4">
        <v>185</v>
      </c>
      <c r="R67" s="1">
        <v>1.32</v>
      </c>
      <c r="S67" t="s">
        <v>607</v>
      </c>
      <c r="T67" t="s">
        <v>608</v>
      </c>
      <c r="U67" t="s">
        <v>24</v>
      </c>
      <c r="V67" t="s">
        <v>609</v>
      </c>
      <c r="W67" t="s">
        <v>610</v>
      </c>
    </row>
    <row r="68" spans="1:23" x14ac:dyDescent="0.3">
      <c r="A68">
        <v>67</v>
      </c>
      <c r="B68" t="s">
        <v>611</v>
      </c>
      <c r="C68" t="s">
        <v>640</v>
      </c>
      <c r="D68" t="s">
        <v>370</v>
      </c>
      <c r="E68" t="s">
        <v>20</v>
      </c>
      <c r="F68" s="1">
        <v>22</v>
      </c>
      <c r="G68" s="1">
        <v>10</v>
      </c>
      <c r="H68" s="1">
        <v>8</v>
      </c>
      <c r="I68" s="1">
        <v>10</v>
      </c>
      <c r="J68" s="1">
        <v>4</v>
      </c>
      <c r="K68" s="4">
        <f t="shared" si="9"/>
        <v>46</v>
      </c>
      <c r="L68" s="4">
        <f t="shared" si="10"/>
        <v>4.4444444444444446</v>
      </c>
      <c r="M68" s="4">
        <f t="shared" si="11"/>
        <v>424.4</v>
      </c>
      <c r="N68" s="4">
        <f t="shared" si="12"/>
        <v>360.07982222222222</v>
      </c>
      <c r="O68" s="4">
        <f t="shared" si="13"/>
        <v>337.19982222222222</v>
      </c>
      <c r="P68" s="4">
        <v>4000</v>
      </c>
      <c r="Q68" s="4">
        <v>185</v>
      </c>
      <c r="R68" s="1">
        <v>2.2999999999999998</v>
      </c>
      <c r="S68" t="s">
        <v>612</v>
      </c>
      <c r="T68" t="s">
        <v>613</v>
      </c>
      <c r="U68" t="s">
        <v>614</v>
      </c>
      <c r="V68" t="s">
        <v>615</v>
      </c>
      <c r="W68" t="s">
        <v>616</v>
      </c>
    </row>
    <row r="69" spans="1:23" x14ac:dyDescent="0.3">
      <c r="A69">
        <v>68</v>
      </c>
      <c r="B69" t="s">
        <v>617</v>
      </c>
      <c r="C69" t="s">
        <v>640</v>
      </c>
      <c r="D69" t="s">
        <v>370</v>
      </c>
      <c r="E69" t="s">
        <v>566</v>
      </c>
      <c r="F69" s="1">
        <v>28</v>
      </c>
      <c r="G69" s="1">
        <v>10</v>
      </c>
      <c r="H69" s="1">
        <v>8</v>
      </c>
      <c r="I69" s="1">
        <v>10</v>
      </c>
      <c r="J69" s="1">
        <v>4</v>
      </c>
      <c r="K69" s="4">
        <f t="shared" si="9"/>
        <v>40</v>
      </c>
      <c r="L69" s="4">
        <f t="shared" si="10"/>
        <v>4.4444444444444446</v>
      </c>
      <c r="M69" s="4">
        <f t="shared" si="11"/>
        <v>434</v>
      </c>
      <c r="N69" s="4">
        <f t="shared" si="12"/>
        <v>368.22488888888887</v>
      </c>
      <c r="O69" s="4">
        <f t="shared" si="13"/>
        <v>339.10488888888887</v>
      </c>
      <c r="P69" s="4">
        <v>4000</v>
      </c>
      <c r="Q69" s="4">
        <v>185</v>
      </c>
      <c r="R69" s="1">
        <v>2.5</v>
      </c>
      <c r="S69" t="s">
        <v>618</v>
      </c>
      <c r="T69" t="s">
        <v>619</v>
      </c>
      <c r="U69" t="s">
        <v>620</v>
      </c>
      <c r="V69" t="s">
        <v>621</v>
      </c>
      <c r="W69" t="s">
        <v>622</v>
      </c>
    </row>
    <row r="70" spans="1:23" x14ac:dyDescent="0.3">
      <c r="A70">
        <v>69</v>
      </c>
      <c r="B70" t="s">
        <v>623</v>
      </c>
      <c r="C70" t="s">
        <v>639</v>
      </c>
      <c r="D70" t="s">
        <v>370</v>
      </c>
      <c r="E70" t="s">
        <v>22</v>
      </c>
      <c r="F70" s="1">
        <v>20</v>
      </c>
      <c r="G70" s="1">
        <v>6</v>
      </c>
      <c r="H70" s="1">
        <v>8</v>
      </c>
      <c r="I70" s="1">
        <v>12</v>
      </c>
      <c r="J70" s="1">
        <v>5</v>
      </c>
      <c r="K70" s="4">
        <f t="shared" si="9"/>
        <v>49</v>
      </c>
      <c r="L70" s="4">
        <f t="shared" si="10"/>
        <v>5.6818181818181817</v>
      </c>
      <c r="M70" s="4">
        <f t="shared" si="11"/>
        <v>391.79999999999995</v>
      </c>
      <c r="N70" s="4">
        <f t="shared" si="12"/>
        <v>325.48784999999998</v>
      </c>
      <c r="O70" s="4">
        <f t="shared" si="13"/>
        <v>304.68784999999997</v>
      </c>
      <c r="P70" s="4">
        <v>4000</v>
      </c>
      <c r="Q70" s="4">
        <v>185</v>
      </c>
      <c r="R70" s="1">
        <v>1.31</v>
      </c>
      <c r="S70" t="s">
        <v>624</v>
      </c>
      <c r="T70" t="s">
        <v>625</v>
      </c>
      <c r="U70" t="s">
        <v>626</v>
      </c>
      <c r="V70" t="s">
        <v>627</v>
      </c>
      <c r="W70" t="s">
        <v>628</v>
      </c>
    </row>
    <row r="71" spans="1:23" x14ac:dyDescent="0.3">
      <c r="A71">
        <v>70</v>
      </c>
      <c r="B71" t="s">
        <v>629</v>
      </c>
      <c r="C71" t="s">
        <v>29</v>
      </c>
      <c r="D71" t="s">
        <v>370</v>
      </c>
      <c r="E71" t="s">
        <v>421</v>
      </c>
      <c r="F71" s="1">
        <v>20</v>
      </c>
      <c r="G71" s="1">
        <v>8</v>
      </c>
      <c r="H71" s="1">
        <v>10</v>
      </c>
      <c r="I71" s="1">
        <v>12</v>
      </c>
      <c r="J71" s="1">
        <v>4</v>
      </c>
      <c r="K71" s="4">
        <f t="shared" si="9"/>
        <v>46</v>
      </c>
      <c r="L71" s="4">
        <f t="shared" si="10"/>
        <v>4.5454545454545459</v>
      </c>
      <c r="M71" s="4">
        <f t="shared" si="11"/>
        <v>394.19999999999993</v>
      </c>
      <c r="N71" s="4">
        <f t="shared" si="12"/>
        <v>333.88739999999996</v>
      </c>
      <c r="O71" s="4">
        <f t="shared" si="13"/>
        <v>313.08739999999995</v>
      </c>
      <c r="P71" s="4">
        <v>4000</v>
      </c>
      <c r="Q71" s="4">
        <v>185</v>
      </c>
      <c r="R71" s="1">
        <v>1.1299999999999999</v>
      </c>
      <c r="S71" t="s">
        <v>630</v>
      </c>
      <c r="T71" t="s">
        <v>631</v>
      </c>
      <c r="U71" t="s">
        <v>54</v>
      </c>
      <c r="V71" t="s">
        <v>632</v>
      </c>
      <c r="W71" t="s">
        <v>633</v>
      </c>
    </row>
    <row r="72" spans="1:23" x14ac:dyDescent="0.3">
      <c r="A72">
        <v>71</v>
      </c>
      <c r="B72" t="s">
        <v>634</v>
      </c>
      <c r="C72" t="s">
        <v>29</v>
      </c>
      <c r="D72" t="s">
        <v>370</v>
      </c>
      <c r="E72" t="s">
        <v>635</v>
      </c>
      <c r="F72" s="1">
        <v>18</v>
      </c>
      <c r="G72" s="1">
        <v>6</v>
      </c>
      <c r="H72" s="1">
        <v>8</v>
      </c>
      <c r="I72" s="1">
        <v>12</v>
      </c>
      <c r="J72" s="1">
        <v>5</v>
      </c>
      <c r="K72" s="4">
        <f t="shared" si="9"/>
        <v>51</v>
      </c>
      <c r="L72" s="4">
        <f t="shared" si="10"/>
        <v>5.6818181818181817</v>
      </c>
      <c r="M72" s="4">
        <f t="shared" si="11"/>
        <v>388.59999999999997</v>
      </c>
      <c r="N72" s="4">
        <f t="shared" si="12"/>
        <v>322.82945000000001</v>
      </c>
      <c r="O72" s="4">
        <f t="shared" si="13"/>
        <v>304.10945000000004</v>
      </c>
      <c r="P72" s="4">
        <v>4000</v>
      </c>
      <c r="Q72" s="4">
        <v>185</v>
      </c>
      <c r="R72" s="1">
        <v>1.32</v>
      </c>
      <c r="S72" t="s">
        <v>636</v>
      </c>
      <c r="T72" t="s">
        <v>631</v>
      </c>
      <c r="U72" t="s">
        <v>54</v>
      </c>
      <c r="V72" t="s">
        <v>637</v>
      </c>
      <c r="W72" t="s">
        <v>638</v>
      </c>
    </row>
    <row r="73" spans="1:23" x14ac:dyDescent="0.3">
      <c r="A73">
        <v>72</v>
      </c>
      <c r="B73" t="s">
        <v>537</v>
      </c>
      <c r="C73" t="s">
        <v>538</v>
      </c>
      <c r="D73" t="s">
        <v>35</v>
      </c>
      <c r="E73" t="s">
        <v>468</v>
      </c>
      <c r="F73" s="6">
        <v>40</v>
      </c>
      <c r="G73" s="6">
        <v>24.57</v>
      </c>
      <c r="H73" s="6">
        <v>12</v>
      </c>
      <c r="I73" s="6">
        <v>8.5</v>
      </c>
      <c r="J73" s="6">
        <v>12</v>
      </c>
      <c r="K73" s="4">
        <f t="shared" si="9"/>
        <v>2.9300000000000068</v>
      </c>
      <c r="L73" s="4">
        <f t="shared" si="10"/>
        <v>13.114754098360656</v>
      </c>
      <c r="M73" s="4">
        <f t="shared" si="11"/>
        <v>520.17100000000005</v>
      </c>
      <c r="N73" s="4">
        <f t="shared" si="12"/>
        <v>376.84257101639355</v>
      </c>
      <c r="O73" s="4">
        <f t="shared" si="13"/>
        <v>335.24257101639353</v>
      </c>
      <c r="P73" s="4">
        <v>4000</v>
      </c>
      <c r="Q73" s="4">
        <v>185</v>
      </c>
      <c r="R73" s="1">
        <v>3750</v>
      </c>
      <c r="S73" t="s">
        <v>572</v>
      </c>
      <c r="T73" t="s">
        <v>573</v>
      </c>
      <c r="U73" t="s">
        <v>68</v>
      </c>
      <c r="V73" t="s">
        <v>574</v>
      </c>
      <c r="W73" t="s">
        <v>21</v>
      </c>
    </row>
    <row r="74" spans="1:23" x14ac:dyDescent="0.3">
      <c r="A74">
        <v>73</v>
      </c>
      <c r="B74" t="s">
        <v>575</v>
      </c>
      <c r="C74" t="s">
        <v>538</v>
      </c>
      <c r="D74" t="s">
        <v>35</v>
      </c>
      <c r="E74" t="s">
        <v>421</v>
      </c>
      <c r="F74" s="6">
        <v>40</v>
      </c>
      <c r="G74" s="6">
        <v>19.89</v>
      </c>
      <c r="H74" s="6">
        <v>19</v>
      </c>
      <c r="I74" s="6">
        <v>8</v>
      </c>
      <c r="J74" s="6">
        <v>12</v>
      </c>
      <c r="K74" s="4">
        <f t="shared" si="9"/>
        <v>1.1099999999999994</v>
      </c>
      <c r="L74" s="4">
        <f t="shared" si="10"/>
        <v>13.043478260869565</v>
      </c>
      <c r="M74" s="4">
        <f t="shared" si="11"/>
        <v>468.71699999999998</v>
      </c>
      <c r="N74" s="4">
        <f t="shared" si="12"/>
        <v>340.04399399999994</v>
      </c>
      <c r="O74" s="4">
        <f t="shared" si="13"/>
        <v>298.44399399999992</v>
      </c>
      <c r="P74" s="4">
        <v>4000</v>
      </c>
      <c r="Q74" s="4">
        <v>185</v>
      </c>
      <c r="R74" s="1">
        <v>4300</v>
      </c>
      <c r="S74" t="s">
        <v>576</v>
      </c>
      <c r="T74" t="s">
        <v>577</v>
      </c>
      <c r="U74" t="s">
        <v>68</v>
      </c>
      <c r="V74" t="s">
        <v>443</v>
      </c>
      <c r="W74" t="s">
        <v>21</v>
      </c>
    </row>
    <row r="75" spans="1:23" x14ac:dyDescent="0.3">
      <c r="A75">
        <v>74</v>
      </c>
      <c r="B75" t="s">
        <v>537</v>
      </c>
      <c r="C75" t="s">
        <v>538</v>
      </c>
      <c r="D75" t="s">
        <v>35</v>
      </c>
      <c r="E75" t="s">
        <v>605</v>
      </c>
      <c r="F75" s="6">
        <v>40</v>
      </c>
      <c r="G75" s="6">
        <v>27</v>
      </c>
      <c r="H75" s="6">
        <v>11</v>
      </c>
      <c r="I75" s="6">
        <v>9</v>
      </c>
      <c r="J75" s="6">
        <v>12</v>
      </c>
      <c r="K75" s="4">
        <f t="shared" si="9"/>
        <v>1</v>
      </c>
      <c r="L75" s="4">
        <f t="shared" si="10"/>
        <v>13.186813186813186</v>
      </c>
      <c r="M75" s="4">
        <f t="shared" si="11"/>
        <v>535.1</v>
      </c>
      <c r="N75" s="4">
        <f t="shared" si="12"/>
        <v>387.10662857142864</v>
      </c>
      <c r="O75" s="4">
        <f t="shared" si="13"/>
        <v>345.50662857142862</v>
      </c>
      <c r="P75" s="4">
        <v>4000</v>
      </c>
      <c r="Q75" s="4">
        <v>185</v>
      </c>
      <c r="R75" s="1">
        <v>336</v>
      </c>
      <c r="S75" t="s">
        <v>578</v>
      </c>
      <c r="T75" t="s">
        <v>579</v>
      </c>
      <c r="U75" t="s">
        <v>580</v>
      </c>
      <c r="V75" t="s">
        <v>581</v>
      </c>
      <c r="W75" t="s">
        <v>582</v>
      </c>
    </row>
    <row r="76" spans="1:23" x14ac:dyDescent="0.3">
      <c r="A76">
        <v>75</v>
      </c>
      <c r="B76" t="s">
        <v>537</v>
      </c>
      <c r="C76" t="s">
        <v>538</v>
      </c>
      <c r="D76" t="s">
        <v>35</v>
      </c>
      <c r="E76" t="s">
        <v>20</v>
      </c>
      <c r="F76" s="6">
        <v>32</v>
      </c>
      <c r="G76" s="6">
        <v>14</v>
      </c>
      <c r="H76" s="6">
        <v>15</v>
      </c>
      <c r="I76" s="6">
        <v>7.5</v>
      </c>
      <c r="J76" s="6">
        <v>8</v>
      </c>
      <c r="K76" s="4">
        <f t="shared" si="9"/>
        <v>23.5</v>
      </c>
      <c r="L76" s="4">
        <f t="shared" si="10"/>
        <v>8.6486486486486491</v>
      </c>
      <c r="M76" s="4">
        <f t="shared" si="11"/>
        <v>443.15</v>
      </c>
      <c r="N76" s="4">
        <f t="shared" si="12"/>
        <v>349.34592432432436</v>
      </c>
      <c r="O76" s="4">
        <f t="shared" si="13"/>
        <v>316.06592432432433</v>
      </c>
      <c r="P76" s="4">
        <v>4000</v>
      </c>
      <c r="Q76" s="4">
        <v>185</v>
      </c>
      <c r="R76" s="1">
        <v>380</v>
      </c>
      <c r="S76" t="s">
        <v>583</v>
      </c>
      <c r="T76" t="s">
        <v>584</v>
      </c>
      <c r="U76" t="s">
        <v>24</v>
      </c>
      <c r="V76" t="s">
        <v>585</v>
      </c>
      <c r="W76" t="s">
        <v>586</v>
      </c>
    </row>
    <row r="77" spans="1:23" x14ac:dyDescent="0.3">
      <c r="A77">
        <v>76</v>
      </c>
      <c r="B77" t="s">
        <v>587</v>
      </c>
      <c r="C77" t="s">
        <v>538</v>
      </c>
      <c r="D77" t="s">
        <v>35</v>
      </c>
      <c r="E77" t="s">
        <v>484</v>
      </c>
      <c r="F77" s="6">
        <v>32</v>
      </c>
      <c r="G77" s="6">
        <v>13</v>
      </c>
      <c r="H77" s="6">
        <v>11</v>
      </c>
      <c r="I77" s="6">
        <v>8</v>
      </c>
      <c r="J77" s="6">
        <v>12</v>
      </c>
      <c r="K77" s="4">
        <f t="shared" si="9"/>
        <v>24</v>
      </c>
      <c r="L77" s="4">
        <f t="shared" si="10"/>
        <v>13.043478260869565</v>
      </c>
      <c r="M77" s="4">
        <f t="shared" si="11"/>
        <v>452.20000000000005</v>
      </c>
      <c r="N77" s="4">
        <f t="shared" si="12"/>
        <v>328.06126956521746</v>
      </c>
      <c r="O77" s="4">
        <f t="shared" si="13"/>
        <v>294.78126956521749</v>
      </c>
      <c r="P77" s="4">
        <v>4000</v>
      </c>
      <c r="Q77" s="4">
        <v>185</v>
      </c>
      <c r="R77" s="1">
        <v>3200</v>
      </c>
      <c r="S77" t="s">
        <v>588</v>
      </c>
      <c r="T77" t="s">
        <v>589</v>
      </c>
      <c r="U77" t="s">
        <v>24</v>
      </c>
      <c r="V77" t="s">
        <v>590</v>
      </c>
      <c r="W77" t="s">
        <v>591</v>
      </c>
    </row>
    <row r="78" spans="1:23" x14ac:dyDescent="0.3">
      <c r="A78">
        <v>77</v>
      </c>
      <c r="B78" t="s">
        <v>592</v>
      </c>
      <c r="C78" t="s">
        <v>538</v>
      </c>
      <c r="D78" t="s">
        <v>35</v>
      </c>
      <c r="E78" t="s">
        <v>20</v>
      </c>
      <c r="F78" s="6">
        <v>30</v>
      </c>
      <c r="G78" s="6">
        <v>11</v>
      </c>
      <c r="H78" s="6">
        <v>9.5</v>
      </c>
      <c r="I78" s="6">
        <v>8</v>
      </c>
      <c r="J78" s="6">
        <v>12</v>
      </c>
      <c r="K78" s="4">
        <f t="shared" si="9"/>
        <v>29.5</v>
      </c>
      <c r="L78" s="4">
        <f t="shared" si="10"/>
        <v>13.043478260869565</v>
      </c>
      <c r="M78" s="4">
        <f t="shared" si="11"/>
        <v>444.54999999999995</v>
      </c>
      <c r="N78" s="4">
        <f t="shared" si="12"/>
        <v>322.51136086956518</v>
      </c>
      <c r="O78" s="4">
        <f t="shared" si="13"/>
        <v>291.31136086956519</v>
      </c>
      <c r="P78" s="4">
        <v>4000</v>
      </c>
      <c r="Q78" s="4">
        <v>185</v>
      </c>
      <c r="R78" s="1">
        <v>3100</v>
      </c>
      <c r="S78" t="s">
        <v>593</v>
      </c>
      <c r="T78" t="s">
        <v>594</v>
      </c>
      <c r="U78" t="s">
        <v>595</v>
      </c>
      <c r="V78" t="s">
        <v>596</v>
      </c>
      <c r="W78" t="s">
        <v>597</v>
      </c>
    </row>
    <row r="79" spans="1:23" x14ac:dyDescent="0.3">
      <c r="A79">
        <v>78</v>
      </c>
      <c r="B79" t="s">
        <v>598</v>
      </c>
      <c r="C79" t="s">
        <v>538</v>
      </c>
      <c r="D79" t="s">
        <v>35</v>
      </c>
      <c r="E79" t="s">
        <v>20</v>
      </c>
      <c r="F79" s="6">
        <v>34</v>
      </c>
      <c r="G79" s="6">
        <v>13</v>
      </c>
      <c r="H79" s="6">
        <v>11</v>
      </c>
      <c r="I79" s="6">
        <v>8</v>
      </c>
      <c r="J79" s="6">
        <v>12</v>
      </c>
      <c r="K79" s="4">
        <f t="shared" si="9"/>
        <v>22</v>
      </c>
      <c r="L79" s="4">
        <f t="shared" si="10"/>
        <v>13.043478260869565</v>
      </c>
      <c r="M79" s="4">
        <f t="shared" si="11"/>
        <v>455.4</v>
      </c>
      <c r="N79" s="4">
        <f t="shared" si="12"/>
        <v>330.38279999999997</v>
      </c>
      <c r="O79" s="4">
        <f t="shared" si="13"/>
        <v>295.02279999999996</v>
      </c>
      <c r="P79" s="4">
        <v>4000</v>
      </c>
      <c r="Q79" s="4">
        <v>185</v>
      </c>
      <c r="R79" s="1">
        <v>3200</v>
      </c>
      <c r="S79" t="s">
        <v>599</v>
      </c>
      <c r="T79" t="s">
        <v>600</v>
      </c>
      <c r="U79" t="s">
        <v>601</v>
      </c>
      <c r="V79" t="s">
        <v>602</v>
      </c>
      <c r="W79" t="s">
        <v>603</v>
      </c>
    </row>
    <row r="80" spans="1:23" x14ac:dyDescent="0.3">
      <c r="A80">
        <v>79</v>
      </c>
      <c r="B80" t="s">
        <v>32</v>
      </c>
      <c r="C80" t="s">
        <v>32</v>
      </c>
      <c r="D80" t="s">
        <v>35</v>
      </c>
      <c r="E80" t="s">
        <v>531</v>
      </c>
      <c r="F80" s="6">
        <v>27</v>
      </c>
      <c r="G80" s="6">
        <v>26.18</v>
      </c>
      <c r="H80" s="6">
        <v>13</v>
      </c>
      <c r="I80" s="6">
        <v>7</v>
      </c>
      <c r="J80" s="6">
        <v>8</v>
      </c>
      <c r="K80" s="4">
        <f t="shared" si="9"/>
        <v>18.819999999999993</v>
      </c>
      <c r="L80" s="4">
        <f t="shared" si="10"/>
        <v>8.6021505376344081</v>
      </c>
      <c r="M80" s="4">
        <f t="shared" si="11"/>
        <v>509.95399999999995</v>
      </c>
      <c r="N80" s="4">
        <f t="shared" si="12"/>
        <v>402.34822262365589</v>
      </c>
      <c r="O80" s="4">
        <f t="shared" si="13"/>
        <v>374.2682226236559</v>
      </c>
      <c r="P80" s="4">
        <v>4000</v>
      </c>
      <c r="Q80" s="4">
        <v>185</v>
      </c>
      <c r="R80" s="1">
        <v>363</v>
      </c>
      <c r="S80" t="s">
        <v>501</v>
      </c>
      <c r="T80" t="s">
        <v>502</v>
      </c>
      <c r="U80" t="s">
        <v>503</v>
      </c>
      <c r="V80" t="s">
        <v>504</v>
      </c>
      <c r="W80" t="s">
        <v>21</v>
      </c>
    </row>
    <row r="81" spans="1:23" x14ac:dyDescent="0.3">
      <c r="A81">
        <v>80</v>
      </c>
      <c r="B81" t="s">
        <v>32</v>
      </c>
      <c r="C81" t="s">
        <v>40</v>
      </c>
      <c r="D81" t="s">
        <v>35</v>
      </c>
      <c r="E81" t="s">
        <v>505</v>
      </c>
      <c r="F81" s="6">
        <v>37</v>
      </c>
      <c r="G81" s="6">
        <v>34</v>
      </c>
      <c r="H81" s="6">
        <v>12</v>
      </c>
      <c r="I81" s="6">
        <v>7</v>
      </c>
      <c r="J81" s="6">
        <v>10</v>
      </c>
      <c r="K81" s="4">
        <f t="shared" si="9"/>
        <v>0</v>
      </c>
      <c r="L81" s="4">
        <f t="shared" si="10"/>
        <v>10.75268817204301</v>
      </c>
      <c r="M81" s="4">
        <f t="shared" si="11"/>
        <v>571.5</v>
      </c>
      <c r="N81" s="4">
        <f t="shared" si="12"/>
        <v>433.33219354838712</v>
      </c>
      <c r="O81" s="4">
        <f t="shared" si="13"/>
        <v>394.85219354838711</v>
      </c>
      <c r="P81" s="4">
        <v>4000</v>
      </c>
      <c r="Q81" s="4">
        <v>185</v>
      </c>
      <c r="R81" s="1">
        <v>362</v>
      </c>
      <c r="S81" t="s">
        <v>506</v>
      </c>
      <c r="T81" t="s">
        <v>507</v>
      </c>
      <c r="U81" t="s">
        <v>31</v>
      </c>
      <c r="V81" t="s">
        <v>77</v>
      </c>
      <c r="W81" t="s">
        <v>60</v>
      </c>
    </row>
    <row r="82" spans="1:23" x14ac:dyDescent="0.3">
      <c r="A82">
        <v>81</v>
      </c>
      <c r="B82" t="s">
        <v>32</v>
      </c>
      <c r="C82" t="s">
        <v>40</v>
      </c>
      <c r="D82" t="s">
        <v>35</v>
      </c>
      <c r="E82" t="s">
        <v>532</v>
      </c>
      <c r="F82" s="6">
        <v>34</v>
      </c>
      <c r="G82" s="6">
        <v>40</v>
      </c>
      <c r="H82" s="6">
        <v>15</v>
      </c>
      <c r="I82" s="6">
        <v>7.5</v>
      </c>
      <c r="J82" s="6">
        <v>8</v>
      </c>
      <c r="K82" s="4">
        <f t="shared" si="9"/>
        <v>-4.5</v>
      </c>
      <c r="L82" s="4">
        <f t="shared" si="10"/>
        <v>8.6486486486486491</v>
      </c>
      <c r="M82" s="4">
        <f t="shared" si="11"/>
        <v>584.15</v>
      </c>
      <c r="N82" s="4">
        <f t="shared" si="12"/>
        <v>460.49965405405413</v>
      </c>
      <c r="O82" s="4">
        <f t="shared" si="13"/>
        <v>425.13965405405412</v>
      </c>
      <c r="P82" s="4">
        <v>4000</v>
      </c>
      <c r="Q82" s="4">
        <v>185</v>
      </c>
      <c r="R82" s="1">
        <v>384</v>
      </c>
      <c r="S82" t="s">
        <v>508</v>
      </c>
      <c r="T82" t="s">
        <v>509</v>
      </c>
      <c r="U82" t="s">
        <v>31</v>
      </c>
      <c r="V82" t="s">
        <v>441</v>
      </c>
      <c r="W82" t="s">
        <v>510</v>
      </c>
    </row>
    <row r="83" spans="1:23" x14ac:dyDescent="0.3">
      <c r="A83">
        <v>82</v>
      </c>
      <c r="B83" t="s">
        <v>32</v>
      </c>
      <c r="C83" t="s">
        <v>32</v>
      </c>
      <c r="D83" t="s">
        <v>35</v>
      </c>
      <c r="E83" t="s">
        <v>533</v>
      </c>
      <c r="F83" s="6">
        <v>34</v>
      </c>
      <c r="G83" s="6">
        <v>38.6</v>
      </c>
      <c r="H83" s="6">
        <v>12</v>
      </c>
      <c r="I83" s="6">
        <v>7.4</v>
      </c>
      <c r="J83" s="6">
        <v>8</v>
      </c>
      <c r="K83" s="4">
        <f t="shared" si="9"/>
        <v>0</v>
      </c>
      <c r="L83" s="4">
        <f t="shared" si="10"/>
        <v>8.6393088552915778</v>
      </c>
      <c r="M83" s="4">
        <f t="shared" si="11"/>
        <v>589.44000000000005</v>
      </c>
      <c r="N83" s="4">
        <f t="shared" si="12"/>
        <v>464.74861477321821</v>
      </c>
      <c r="O83" s="4">
        <f t="shared" si="13"/>
        <v>429.38861477321819</v>
      </c>
      <c r="P83" s="4">
        <v>4000</v>
      </c>
      <c r="Q83" s="4">
        <v>185</v>
      </c>
      <c r="R83" s="1">
        <v>318</v>
      </c>
      <c r="S83" t="s">
        <v>511</v>
      </c>
      <c r="T83" t="s">
        <v>512</v>
      </c>
      <c r="U83" t="s">
        <v>71</v>
      </c>
      <c r="V83" t="s">
        <v>513</v>
      </c>
      <c r="W83" t="s">
        <v>60</v>
      </c>
    </row>
    <row r="84" spans="1:23" x14ac:dyDescent="0.3">
      <c r="A84">
        <v>83</v>
      </c>
      <c r="B84" t="s">
        <v>32</v>
      </c>
      <c r="C84" t="s">
        <v>40</v>
      </c>
      <c r="D84" t="s">
        <v>35</v>
      </c>
      <c r="E84" t="s">
        <v>533</v>
      </c>
      <c r="F84" s="6">
        <v>34</v>
      </c>
      <c r="G84" s="6">
        <v>42.9</v>
      </c>
      <c r="H84" s="6">
        <v>12</v>
      </c>
      <c r="I84" s="6">
        <v>7.4</v>
      </c>
      <c r="J84" s="6">
        <v>8</v>
      </c>
      <c r="K84" s="4">
        <f t="shared" si="9"/>
        <v>-4.3000000000000114</v>
      </c>
      <c r="L84" s="4">
        <f t="shared" si="10"/>
        <v>8.6393088552915778</v>
      </c>
      <c r="M84" s="4">
        <f t="shared" si="11"/>
        <v>612.2299999999999</v>
      </c>
      <c r="N84" s="4">
        <f t="shared" si="12"/>
        <v>482.71756993520518</v>
      </c>
      <c r="O84" s="4">
        <f t="shared" si="13"/>
        <v>447.35756993520516</v>
      </c>
      <c r="P84" s="4">
        <v>4000</v>
      </c>
      <c r="Q84" s="4">
        <v>185</v>
      </c>
      <c r="R84" s="1">
        <v>318</v>
      </c>
      <c r="S84" t="s">
        <v>514</v>
      </c>
      <c r="T84" t="s">
        <v>515</v>
      </c>
      <c r="U84" t="s">
        <v>516</v>
      </c>
      <c r="V84" t="s">
        <v>517</v>
      </c>
      <c r="W84" t="s">
        <v>21</v>
      </c>
    </row>
    <row r="85" spans="1:23" x14ac:dyDescent="0.3">
      <c r="A85">
        <v>84</v>
      </c>
      <c r="B85" t="s">
        <v>32</v>
      </c>
      <c r="C85" t="s">
        <v>40</v>
      </c>
      <c r="D85" t="s">
        <v>35</v>
      </c>
      <c r="E85" t="s">
        <v>534</v>
      </c>
      <c r="F85" s="6">
        <v>46</v>
      </c>
      <c r="G85" s="6">
        <v>47.9</v>
      </c>
      <c r="H85" s="6">
        <v>12</v>
      </c>
      <c r="I85" s="6">
        <v>7.9</v>
      </c>
      <c r="J85" s="6">
        <v>8</v>
      </c>
      <c r="K85" s="4">
        <f t="shared" si="9"/>
        <v>-21.800000000000011</v>
      </c>
      <c r="L85" s="4">
        <f t="shared" si="10"/>
        <v>8.686210640608035</v>
      </c>
      <c r="M85" s="4">
        <f t="shared" si="11"/>
        <v>655.88</v>
      </c>
      <c r="N85" s="4">
        <f t="shared" si="12"/>
        <v>516.69386076004344</v>
      </c>
      <c r="O85" s="4">
        <f t="shared" si="13"/>
        <v>468.8538607600434</v>
      </c>
      <c r="P85" s="4">
        <v>4000</v>
      </c>
      <c r="Q85" s="4">
        <v>185</v>
      </c>
      <c r="R85" s="1">
        <v>361</v>
      </c>
      <c r="S85" t="s">
        <v>518</v>
      </c>
      <c r="T85" t="s">
        <v>519</v>
      </c>
      <c r="U85" t="s">
        <v>516</v>
      </c>
      <c r="V85" t="s">
        <v>517</v>
      </c>
      <c r="W85" t="s">
        <v>21</v>
      </c>
    </row>
    <row r="86" spans="1:23" x14ac:dyDescent="0.3">
      <c r="A86">
        <v>85</v>
      </c>
      <c r="B86" t="s">
        <v>32</v>
      </c>
      <c r="C86" t="s">
        <v>32</v>
      </c>
      <c r="D86" t="s">
        <v>35</v>
      </c>
      <c r="E86" t="s">
        <v>520</v>
      </c>
      <c r="F86" s="6">
        <v>35</v>
      </c>
      <c r="G86" s="6">
        <v>15</v>
      </c>
      <c r="H86" s="6">
        <v>17</v>
      </c>
      <c r="I86" s="6">
        <v>7.5</v>
      </c>
      <c r="J86" s="6">
        <v>7.8</v>
      </c>
      <c r="K86" s="4">
        <f t="shared" si="9"/>
        <v>17.700000000000003</v>
      </c>
      <c r="L86" s="4">
        <f t="shared" si="10"/>
        <v>8.4324324324324316</v>
      </c>
      <c r="M86" s="4">
        <f t="shared" si="11"/>
        <v>445.05</v>
      </c>
      <c r="N86" s="4">
        <f t="shared" si="12"/>
        <v>352.21978702702705</v>
      </c>
      <c r="O86" s="4">
        <f t="shared" si="13"/>
        <v>315.81978702702708</v>
      </c>
      <c r="P86" s="4">
        <v>4000</v>
      </c>
      <c r="Q86" s="4">
        <v>185</v>
      </c>
      <c r="R86" s="1">
        <v>388</v>
      </c>
      <c r="S86" t="s">
        <v>521</v>
      </c>
      <c r="T86" t="s">
        <v>522</v>
      </c>
      <c r="U86" t="s">
        <v>55</v>
      </c>
      <c r="V86" t="s">
        <v>523</v>
      </c>
      <c r="W86" t="s">
        <v>524</v>
      </c>
    </row>
    <row r="87" spans="1:23" x14ac:dyDescent="0.3">
      <c r="A87">
        <v>86</v>
      </c>
      <c r="B87" t="s">
        <v>32</v>
      </c>
      <c r="C87" t="s">
        <v>40</v>
      </c>
      <c r="D87" t="s">
        <v>35</v>
      </c>
      <c r="E87" t="s">
        <v>20</v>
      </c>
      <c r="F87" s="6">
        <v>32</v>
      </c>
      <c r="G87" s="6">
        <v>15</v>
      </c>
      <c r="H87" s="6">
        <v>15</v>
      </c>
      <c r="I87" s="6">
        <v>7.5</v>
      </c>
      <c r="J87" s="6">
        <v>8</v>
      </c>
      <c r="K87" s="4">
        <f t="shared" si="9"/>
        <v>22.5</v>
      </c>
      <c r="L87" s="4">
        <f t="shared" si="10"/>
        <v>8.6486486486486491</v>
      </c>
      <c r="M87" s="4">
        <f t="shared" si="11"/>
        <v>448.44999999999993</v>
      </c>
      <c r="N87" s="4">
        <f t="shared" si="12"/>
        <v>353.52404324324323</v>
      </c>
      <c r="O87" s="4">
        <f t="shared" si="13"/>
        <v>320.24404324324325</v>
      </c>
      <c r="P87" s="4">
        <v>4000</v>
      </c>
      <c r="Q87" s="4">
        <v>185</v>
      </c>
      <c r="R87" s="1">
        <v>372</v>
      </c>
      <c r="S87" t="s">
        <v>525</v>
      </c>
      <c r="T87" t="s">
        <v>526</v>
      </c>
      <c r="U87" t="s">
        <v>499</v>
      </c>
      <c r="V87" t="s">
        <v>527</v>
      </c>
      <c r="W87" t="s">
        <v>60</v>
      </c>
    </row>
    <row r="88" spans="1:23" x14ac:dyDescent="0.3">
      <c r="A88">
        <v>87</v>
      </c>
      <c r="B88" t="s">
        <v>32</v>
      </c>
      <c r="C88" t="s">
        <v>32</v>
      </c>
      <c r="D88" t="s">
        <v>35</v>
      </c>
      <c r="E88" t="s">
        <v>535</v>
      </c>
      <c r="F88" s="6">
        <v>34</v>
      </c>
      <c r="G88" s="6">
        <v>12</v>
      </c>
      <c r="H88" s="6">
        <v>15</v>
      </c>
      <c r="I88" s="6">
        <v>6.9</v>
      </c>
      <c r="J88" s="6">
        <v>5.5</v>
      </c>
      <c r="K88" s="4">
        <f t="shared" si="9"/>
        <v>26.599999999999994</v>
      </c>
      <c r="L88" s="4">
        <f t="shared" si="10"/>
        <v>5.9076262083780886</v>
      </c>
      <c r="M88" s="4">
        <f t="shared" si="11"/>
        <v>438.21</v>
      </c>
      <c r="N88" s="4">
        <f t="shared" si="12"/>
        <v>362.62795340494091</v>
      </c>
      <c r="O88" s="4">
        <f t="shared" si="13"/>
        <v>327.2679534049409</v>
      </c>
      <c r="P88" s="4">
        <v>4000</v>
      </c>
      <c r="Q88" s="4">
        <v>185</v>
      </c>
      <c r="R88" s="1">
        <v>3564</v>
      </c>
      <c r="S88" t="s">
        <v>528</v>
      </c>
      <c r="T88" t="s">
        <v>529</v>
      </c>
      <c r="U88" t="s">
        <v>31</v>
      </c>
      <c r="V88" t="s">
        <v>530</v>
      </c>
      <c r="W88" t="s">
        <v>21</v>
      </c>
    </row>
    <row r="89" spans="1:23" x14ac:dyDescent="0.3">
      <c r="A89">
        <v>88</v>
      </c>
      <c r="B89" t="s">
        <v>493</v>
      </c>
      <c r="C89" t="s">
        <v>483</v>
      </c>
      <c r="D89" t="s">
        <v>35</v>
      </c>
      <c r="E89" t="s">
        <v>20</v>
      </c>
      <c r="F89" s="6">
        <v>42</v>
      </c>
      <c r="G89" s="6">
        <v>7</v>
      </c>
      <c r="H89" s="6">
        <v>18</v>
      </c>
      <c r="I89" s="6">
        <v>8.3000000000000007</v>
      </c>
      <c r="J89" s="6">
        <v>10</v>
      </c>
      <c r="K89" s="4">
        <f t="shared" si="9"/>
        <v>14.700000000000003</v>
      </c>
      <c r="L89" s="4">
        <f t="shared" si="10"/>
        <v>10.905125408942203</v>
      </c>
      <c r="M89" s="4">
        <f t="shared" si="11"/>
        <v>406.46999999999997</v>
      </c>
      <c r="N89" s="4">
        <f t="shared" si="12"/>
        <v>307.3143695528899</v>
      </c>
      <c r="O89" s="4">
        <f t="shared" si="13"/>
        <v>263.63436955288989</v>
      </c>
      <c r="P89" s="4">
        <v>4000</v>
      </c>
      <c r="Q89" s="4">
        <v>185</v>
      </c>
      <c r="R89" s="1">
        <v>4488</v>
      </c>
      <c r="S89" t="s">
        <v>494</v>
      </c>
      <c r="T89" t="s">
        <v>495</v>
      </c>
      <c r="U89" t="s">
        <v>55</v>
      </c>
      <c r="V89" t="s">
        <v>496</v>
      </c>
      <c r="W89" t="s">
        <v>57</v>
      </c>
    </row>
    <row r="90" spans="1:23" x14ac:dyDescent="0.3">
      <c r="A90">
        <v>89</v>
      </c>
      <c r="B90" t="s">
        <v>481</v>
      </c>
      <c r="C90" t="s">
        <v>446</v>
      </c>
      <c r="D90" t="s">
        <v>35</v>
      </c>
      <c r="E90" t="s">
        <v>468</v>
      </c>
      <c r="F90" s="6">
        <v>32</v>
      </c>
      <c r="G90" s="6">
        <v>10.45</v>
      </c>
      <c r="H90" s="6">
        <v>10</v>
      </c>
      <c r="I90" s="6">
        <v>8</v>
      </c>
      <c r="J90" s="6">
        <v>10</v>
      </c>
      <c r="K90" s="4">
        <f t="shared" si="9"/>
        <v>29.549999999999997</v>
      </c>
      <c r="L90" s="4">
        <f t="shared" si="10"/>
        <v>10.869565217391305</v>
      </c>
      <c r="M90" s="4">
        <f t="shared" si="11"/>
        <v>442.78499999999997</v>
      </c>
      <c r="N90" s="4">
        <f t="shared" si="12"/>
        <v>334.99572978260869</v>
      </c>
      <c r="O90" s="4">
        <f t="shared" si="13"/>
        <v>301.71572978260872</v>
      </c>
      <c r="P90" s="4">
        <v>4000</v>
      </c>
      <c r="Q90" s="4">
        <v>185</v>
      </c>
      <c r="R90" s="1">
        <v>333</v>
      </c>
      <c r="S90" t="s">
        <v>469</v>
      </c>
      <c r="T90" t="s">
        <v>470</v>
      </c>
      <c r="U90" t="s">
        <v>21</v>
      </c>
      <c r="V90" t="s">
        <v>471</v>
      </c>
      <c r="W90" t="s">
        <v>472</v>
      </c>
    </row>
    <row r="91" spans="1:23" x14ac:dyDescent="0.3">
      <c r="A91">
        <v>90</v>
      </c>
      <c r="B91" t="s">
        <v>473</v>
      </c>
      <c r="C91" t="s">
        <v>446</v>
      </c>
      <c r="D91" t="s">
        <v>35</v>
      </c>
      <c r="E91" t="s">
        <v>20</v>
      </c>
      <c r="F91" s="6">
        <v>31.5</v>
      </c>
      <c r="G91" s="6">
        <v>11</v>
      </c>
      <c r="H91" s="6">
        <v>12</v>
      </c>
      <c r="I91" s="6">
        <v>6.5</v>
      </c>
      <c r="J91" s="6">
        <v>10</v>
      </c>
      <c r="K91" s="4">
        <f t="shared" si="9"/>
        <v>29</v>
      </c>
      <c r="L91" s="4">
        <f t="shared" si="10"/>
        <v>10.695187165775401</v>
      </c>
      <c r="M91" s="4">
        <f t="shared" si="11"/>
        <v>442.85</v>
      </c>
      <c r="N91" s="4">
        <f t="shared" si="12"/>
        <v>336.14920000000001</v>
      </c>
      <c r="O91" s="4">
        <f t="shared" si="13"/>
        <v>303.38920000000002</v>
      </c>
      <c r="P91" s="4">
        <v>4000</v>
      </c>
      <c r="Q91" s="4">
        <v>185</v>
      </c>
      <c r="R91" s="1">
        <v>3400</v>
      </c>
      <c r="S91" t="s">
        <v>474</v>
      </c>
      <c r="T91" t="s">
        <v>475</v>
      </c>
      <c r="U91" t="s">
        <v>53</v>
      </c>
      <c r="V91" t="s">
        <v>476</v>
      </c>
      <c r="W91" t="s">
        <v>21</v>
      </c>
    </row>
    <row r="92" spans="1:23" x14ac:dyDescent="0.3">
      <c r="A92">
        <v>91</v>
      </c>
      <c r="B92" t="s">
        <v>477</v>
      </c>
      <c r="C92" t="s">
        <v>446</v>
      </c>
      <c r="D92" t="s">
        <v>35</v>
      </c>
      <c r="E92" t="s">
        <v>20</v>
      </c>
      <c r="F92" s="6">
        <v>28</v>
      </c>
      <c r="G92" s="6">
        <v>36</v>
      </c>
      <c r="H92" s="6">
        <v>8</v>
      </c>
      <c r="I92" s="6">
        <v>8.5</v>
      </c>
      <c r="J92" s="6">
        <v>10</v>
      </c>
      <c r="K92" s="4">
        <f t="shared" si="9"/>
        <v>9.5</v>
      </c>
      <c r="L92" s="4">
        <f t="shared" si="10"/>
        <v>10.928961748633879</v>
      </c>
      <c r="M92" s="4">
        <f t="shared" si="11"/>
        <v>577.95000000000005</v>
      </c>
      <c r="N92" s="4">
        <f t="shared" si="12"/>
        <v>436.76597377049183</v>
      </c>
      <c r="O92" s="4">
        <f t="shared" si="13"/>
        <v>407.64597377049182</v>
      </c>
      <c r="P92" s="4">
        <v>4000</v>
      </c>
      <c r="Q92" s="4">
        <v>185</v>
      </c>
      <c r="R92" s="1">
        <v>3662</v>
      </c>
      <c r="S92" t="s">
        <v>478</v>
      </c>
      <c r="T92" t="s">
        <v>479</v>
      </c>
      <c r="U92" t="s">
        <v>24</v>
      </c>
      <c r="V92" t="s">
        <v>480</v>
      </c>
      <c r="W92" t="s">
        <v>61</v>
      </c>
    </row>
    <row r="93" spans="1:23" x14ac:dyDescent="0.3">
      <c r="A93">
        <v>92</v>
      </c>
      <c r="B93" t="s">
        <v>392</v>
      </c>
      <c r="C93" t="s">
        <v>369</v>
      </c>
      <c r="D93" t="s">
        <v>35</v>
      </c>
      <c r="E93" t="s">
        <v>22</v>
      </c>
      <c r="F93" s="6">
        <v>32</v>
      </c>
      <c r="G93" s="6">
        <v>8.5</v>
      </c>
      <c r="H93" s="6">
        <v>12</v>
      </c>
      <c r="I93" s="6">
        <v>8</v>
      </c>
      <c r="J93" s="6">
        <v>12</v>
      </c>
      <c r="K93" s="4">
        <f t="shared" si="9"/>
        <v>27.5</v>
      </c>
      <c r="L93" s="4">
        <f t="shared" si="10"/>
        <v>13.043478260869565</v>
      </c>
      <c r="M93" s="4">
        <f t="shared" si="11"/>
        <v>424.25</v>
      </c>
      <c r="N93" s="4">
        <f t="shared" si="12"/>
        <v>307.78415217391301</v>
      </c>
      <c r="O93" s="4">
        <f t="shared" si="13"/>
        <v>274.50415217391298</v>
      </c>
      <c r="P93" s="4">
        <v>4000</v>
      </c>
      <c r="Q93" s="4">
        <v>185</v>
      </c>
      <c r="R93">
        <v>345</v>
      </c>
      <c r="S93" t="s">
        <v>417</v>
      </c>
      <c r="T93" t="s">
        <v>418</v>
      </c>
      <c r="U93" t="s">
        <v>21</v>
      </c>
      <c r="V93" t="s">
        <v>419</v>
      </c>
      <c r="W93" t="s">
        <v>420</v>
      </c>
    </row>
    <row r="94" spans="1:23" x14ac:dyDescent="0.3">
      <c r="A94">
        <v>93</v>
      </c>
      <c r="B94" t="s">
        <v>392</v>
      </c>
      <c r="C94" t="s">
        <v>369</v>
      </c>
      <c r="D94" t="s">
        <v>35</v>
      </c>
      <c r="E94" t="s">
        <v>421</v>
      </c>
      <c r="F94" s="6">
        <v>32</v>
      </c>
      <c r="G94" s="6">
        <v>28.71</v>
      </c>
      <c r="H94" s="6">
        <v>12</v>
      </c>
      <c r="I94" s="6">
        <v>8</v>
      </c>
      <c r="J94" s="6">
        <v>12</v>
      </c>
      <c r="K94" s="4">
        <f t="shared" si="9"/>
        <v>7.289999999999992</v>
      </c>
      <c r="L94" s="4">
        <f t="shared" si="10"/>
        <v>13.043478260869565</v>
      </c>
      <c r="M94" s="4">
        <f t="shared" si="11"/>
        <v>531.36299999999994</v>
      </c>
      <c r="N94" s="4">
        <f t="shared" si="12"/>
        <v>385.49230513043477</v>
      </c>
      <c r="O94" s="4">
        <f t="shared" si="13"/>
        <v>352.21230513043474</v>
      </c>
      <c r="P94" s="4">
        <v>4000</v>
      </c>
      <c r="Q94" s="4">
        <v>185</v>
      </c>
      <c r="R94">
        <v>345</v>
      </c>
      <c r="S94" t="s">
        <v>422</v>
      </c>
      <c r="T94" t="s">
        <v>423</v>
      </c>
      <c r="U94" t="s">
        <v>48</v>
      </c>
      <c r="V94" t="s">
        <v>424</v>
      </c>
      <c r="W94" t="s">
        <v>425</v>
      </c>
    </row>
    <row r="95" spans="1:23" x14ac:dyDescent="0.3">
      <c r="A95">
        <v>94</v>
      </c>
      <c r="B95" t="s">
        <v>426</v>
      </c>
      <c r="C95" t="s">
        <v>369</v>
      </c>
      <c r="D95" t="s">
        <v>35</v>
      </c>
      <c r="E95" t="s">
        <v>22</v>
      </c>
      <c r="F95" s="6">
        <v>29</v>
      </c>
      <c r="G95" s="6">
        <v>5.5</v>
      </c>
      <c r="H95" s="6">
        <v>12</v>
      </c>
      <c r="I95" s="6">
        <v>10</v>
      </c>
      <c r="J95" s="6">
        <v>12</v>
      </c>
      <c r="K95" s="4">
        <f t="shared" si="9"/>
        <v>31.5</v>
      </c>
      <c r="L95" s="4">
        <f t="shared" si="10"/>
        <v>13.333333333333334</v>
      </c>
      <c r="M95" s="4">
        <f t="shared" si="11"/>
        <v>395.35</v>
      </c>
      <c r="N95" s="4">
        <f t="shared" si="12"/>
        <v>285.17913333333337</v>
      </c>
      <c r="O95" s="4">
        <f t="shared" si="13"/>
        <v>255.01913333333337</v>
      </c>
      <c r="P95" s="4">
        <v>4000</v>
      </c>
      <c r="Q95" s="4">
        <v>185</v>
      </c>
      <c r="R95">
        <v>327</v>
      </c>
      <c r="S95" t="s">
        <v>427</v>
      </c>
      <c r="T95" t="s">
        <v>428</v>
      </c>
      <c r="U95" t="s">
        <v>33</v>
      </c>
      <c r="V95" t="s">
        <v>429</v>
      </c>
      <c r="W95" t="s">
        <v>430</v>
      </c>
    </row>
    <row r="96" spans="1:23" x14ac:dyDescent="0.3">
      <c r="A96">
        <v>95</v>
      </c>
      <c r="B96" t="s">
        <v>431</v>
      </c>
      <c r="C96" t="s">
        <v>369</v>
      </c>
      <c r="D96" t="s">
        <v>35</v>
      </c>
      <c r="E96" t="s">
        <v>432</v>
      </c>
      <c r="F96" s="6">
        <v>32</v>
      </c>
      <c r="G96" s="6">
        <v>3.61</v>
      </c>
      <c r="H96" s="6">
        <v>12</v>
      </c>
      <c r="I96" s="6">
        <v>8</v>
      </c>
      <c r="J96" s="6">
        <v>12</v>
      </c>
      <c r="K96" s="4">
        <f t="shared" si="9"/>
        <v>32.39</v>
      </c>
      <c r="L96" s="4">
        <f t="shared" si="10"/>
        <v>13.043478260869565</v>
      </c>
      <c r="M96" s="4">
        <f t="shared" si="11"/>
        <v>398.33299999999997</v>
      </c>
      <c r="N96" s="4">
        <f t="shared" si="12"/>
        <v>288.98193208695648</v>
      </c>
      <c r="O96" s="4">
        <f t="shared" si="13"/>
        <v>255.70193208695648</v>
      </c>
      <c r="P96" s="4">
        <v>4000</v>
      </c>
      <c r="Q96" s="4">
        <v>185</v>
      </c>
      <c r="R96">
        <v>345</v>
      </c>
      <c r="S96" t="s">
        <v>433</v>
      </c>
      <c r="T96" t="s">
        <v>434</v>
      </c>
      <c r="U96" t="s">
        <v>21</v>
      </c>
      <c r="V96" t="s">
        <v>435</v>
      </c>
      <c r="W96" t="s">
        <v>436</v>
      </c>
    </row>
    <row r="97" spans="1:23" x14ac:dyDescent="0.3">
      <c r="A97">
        <v>96</v>
      </c>
      <c r="B97" t="s">
        <v>437</v>
      </c>
      <c r="C97" t="s">
        <v>369</v>
      </c>
      <c r="D97" t="s">
        <v>35</v>
      </c>
      <c r="E97" t="s">
        <v>438</v>
      </c>
      <c r="F97" s="6">
        <v>32</v>
      </c>
      <c r="G97" s="6">
        <v>5.15</v>
      </c>
      <c r="H97" s="6">
        <v>8</v>
      </c>
      <c r="I97" s="6">
        <v>8</v>
      </c>
      <c r="J97" s="6">
        <v>12</v>
      </c>
      <c r="K97" s="4">
        <f t="shared" si="9"/>
        <v>34.849999999999994</v>
      </c>
      <c r="L97" s="4">
        <f t="shared" si="10"/>
        <v>13.043478260869565</v>
      </c>
      <c r="M97" s="4">
        <f t="shared" si="11"/>
        <v>422.89499999999998</v>
      </c>
      <c r="N97" s="4">
        <f t="shared" si="12"/>
        <v>306.80112913043473</v>
      </c>
      <c r="O97" s="4">
        <f t="shared" si="13"/>
        <v>273.5211291304347</v>
      </c>
      <c r="P97" s="4">
        <v>4000</v>
      </c>
      <c r="Q97" s="4">
        <v>185</v>
      </c>
      <c r="R97">
        <v>317</v>
      </c>
      <c r="S97" t="s">
        <v>439</v>
      </c>
      <c r="T97" t="s">
        <v>434</v>
      </c>
      <c r="U97" t="s">
        <v>21</v>
      </c>
      <c r="V97" t="s">
        <v>435</v>
      </c>
      <c r="W97" t="s">
        <v>440</v>
      </c>
    </row>
    <row r="98" spans="1:23" ht="105.4" x14ac:dyDescent="0.3">
      <c r="A98">
        <v>97</v>
      </c>
      <c r="B98" t="s">
        <v>146</v>
      </c>
      <c r="C98" t="s">
        <v>29</v>
      </c>
      <c r="D98" t="s">
        <v>35</v>
      </c>
      <c r="E98" s="3" t="s">
        <v>147</v>
      </c>
      <c r="F98" s="6">
        <v>24</v>
      </c>
      <c r="G98" s="6">
        <v>8</v>
      </c>
      <c r="H98" s="6">
        <v>9</v>
      </c>
      <c r="I98" s="6">
        <v>10</v>
      </c>
      <c r="J98" s="6">
        <v>5</v>
      </c>
      <c r="K98" s="4">
        <f t="shared" si="9"/>
        <v>44</v>
      </c>
      <c r="L98" s="4">
        <f t="shared" si="10"/>
        <v>5.5555555555555554</v>
      </c>
      <c r="M98" s="4">
        <f t="shared" si="11"/>
        <v>412.9</v>
      </c>
      <c r="N98" s="4">
        <f t="shared" si="12"/>
        <v>343.76218888888894</v>
      </c>
      <c r="O98" s="4">
        <f t="shared" si="13"/>
        <v>318.80218888888896</v>
      </c>
      <c r="P98" s="4">
        <v>4000</v>
      </c>
      <c r="Q98" s="4">
        <v>185</v>
      </c>
      <c r="R98" s="4">
        <v>0</v>
      </c>
      <c r="S98" s="5" t="s">
        <v>148</v>
      </c>
      <c r="T98" s="5" t="s">
        <v>149</v>
      </c>
      <c r="U98" s="5" t="s">
        <v>54</v>
      </c>
      <c r="V98" s="5" t="s">
        <v>150</v>
      </c>
      <c r="W98" s="5" t="s">
        <v>151</v>
      </c>
    </row>
    <row r="99" spans="1:23" ht="150.55000000000001" x14ac:dyDescent="0.3">
      <c r="A99">
        <v>98</v>
      </c>
      <c r="B99" t="s">
        <v>152</v>
      </c>
      <c r="C99" t="s">
        <v>153</v>
      </c>
      <c r="D99" t="s">
        <v>35</v>
      </c>
      <c r="E99" s="3" t="s">
        <v>20</v>
      </c>
      <c r="F99" s="6">
        <v>30</v>
      </c>
      <c r="G99" s="6">
        <v>10</v>
      </c>
      <c r="H99" s="6">
        <v>8.3000000000000007</v>
      </c>
      <c r="I99" s="6">
        <v>12</v>
      </c>
      <c r="J99" s="6">
        <v>4</v>
      </c>
      <c r="K99" s="4">
        <f t="shared" si="9"/>
        <v>35.700000000000003</v>
      </c>
      <c r="L99" s="4">
        <f t="shared" si="10"/>
        <v>4.5454545454545459</v>
      </c>
      <c r="M99" s="4">
        <f t="shared" si="11"/>
        <v>427.77</v>
      </c>
      <c r="N99" s="4">
        <f t="shared" si="12"/>
        <v>362.32119</v>
      </c>
      <c r="O99" s="4">
        <f t="shared" si="13"/>
        <v>331.12119000000001</v>
      </c>
      <c r="P99" s="4">
        <v>4000</v>
      </c>
      <c r="Q99" s="4">
        <v>185</v>
      </c>
      <c r="R99" s="4">
        <v>0</v>
      </c>
      <c r="S99" s="5" t="s">
        <v>154</v>
      </c>
      <c r="T99" s="5" t="s">
        <v>155</v>
      </c>
      <c r="U99" s="5" t="s">
        <v>156</v>
      </c>
      <c r="V99" s="5" t="s">
        <v>157</v>
      </c>
      <c r="W99" s="5" t="s">
        <v>158</v>
      </c>
    </row>
    <row r="100" spans="1:23" ht="150.55000000000001" x14ac:dyDescent="0.3">
      <c r="A100">
        <v>99</v>
      </c>
      <c r="B100" t="s">
        <v>152</v>
      </c>
      <c r="C100" t="s">
        <v>153</v>
      </c>
      <c r="D100" t="s">
        <v>35</v>
      </c>
      <c r="E100" s="3" t="s">
        <v>20</v>
      </c>
      <c r="F100" s="6">
        <v>30</v>
      </c>
      <c r="G100" s="6">
        <v>9</v>
      </c>
      <c r="H100" s="6">
        <v>8.5</v>
      </c>
      <c r="I100" s="6">
        <v>12</v>
      </c>
      <c r="J100" s="6">
        <v>4</v>
      </c>
      <c r="K100" s="4">
        <f t="shared" si="9"/>
        <v>36.5</v>
      </c>
      <c r="L100" s="4">
        <f t="shared" si="10"/>
        <v>4.5454545454545459</v>
      </c>
      <c r="M100" s="4">
        <f t="shared" si="11"/>
        <v>421.65</v>
      </c>
      <c r="N100" s="4">
        <f t="shared" si="12"/>
        <v>357.13754999999998</v>
      </c>
      <c r="O100" s="4">
        <f t="shared" si="13"/>
        <v>325.93754999999999</v>
      </c>
      <c r="P100" s="4">
        <v>4000</v>
      </c>
      <c r="Q100" s="4">
        <v>185</v>
      </c>
      <c r="R100" s="4">
        <v>0</v>
      </c>
      <c r="S100" s="5" t="s">
        <v>159</v>
      </c>
      <c r="T100" s="5" t="s">
        <v>155</v>
      </c>
      <c r="U100" s="5" t="s">
        <v>156</v>
      </c>
      <c r="V100" s="5" t="s">
        <v>160</v>
      </c>
      <c r="W100" s="5" t="s">
        <v>161</v>
      </c>
    </row>
    <row r="101" spans="1:23" ht="90.35" x14ac:dyDescent="0.3">
      <c r="A101">
        <v>100</v>
      </c>
      <c r="B101" t="s">
        <v>162</v>
      </c>
      <c r="C101" t="s">
        <v>163</v>
      </c>
      <c r="D101" t="s">
        <v>35</v>
      </c>
      <c r="E101" s="3" t="s">
        <v>45</v>
      </c>
      <c r="F101" s="6">
        <v>24</v>
      </c>
      <c r="G101" s="6">
        <v>8</v>
      </c>
      <c r="H101" s="6">
        <v>10</v>
      </c>
      <c r="I101" s="6">
        <v>12</v>
      </c>
      <c r="J101" s="6">
        <v>4</v>
      </c>
      <c r="K101" s="4">
        <f t="shared" si="9"/>
        <v>42</v>
      </c>
      <c r="L101" s="4">
        <f t="shared" si="10"/>
        <v>4.5454545454545459</v>
      </c>
      <c r="M101" s="4">
        <f t="shared" si="11"/>
        <v>400.6</v>
      </c>
      <c r="N101" s="4">
        <f t="shared" si="12"/>
        <v>339.3082</v>
      </c>
      <c r="O101" s="4">
        <f t="shared" si="13"/>
        <v>314.34820000000002</v>
      </c>
      <c r="P101" s="4">
        <v>4000</v>
      </c>
      <c r="Q101" s="4">
        <v>185</v>
      </c>
      <c r="R101" s="4">
        <v>0</v>
      </c>
      <c r="S101" s="5" t="s">
        <v>164</v>
      </c>
      <c r="T101" s="5" t="s">
        <v>165</v>
      </c>
      <c r="U101" s="5" t="s">
        <v>166</v>
      </c>
      <c r="V101" s="5" t="s">
        <v>167</v>
      </c>
      <c r="W101" s="5" t="s">
        <v>168</v>
      </c>
    </row>
    <row r="102" spans="1:23" ht="120.45" x14ac:dyDescent="0.3">
      <c r="A102">
        <v>101</v>
      </c>
      <c r="B102" t="s">
        <v>169</v>
      </c>
      <c r="C102" t="s">
        <v>369</v>
      </c>
      <c r="D102" t="s">
        <v>35</v>
      </c>
      <c r="E102" s="3" t="s">
        <v>45</v>
      </c>
      <c r="F102" s="6">
        <v>24</v>
      </c>
      <c r="G102" s="6">
        <v>8</v>
      </c>
      <c r="H102" s="6">
        <v>9</v>
      </c>
      <c r="I102" s="6">
        <v>10</v>
      </c>
      <c r="J102" s="6">
        <v>4</v>
      </c>
      <c r="K102" s="4">
        <f t="shared" si="9"/>
        <v>45</v>
      </c>
      <c r="L102" s="4">
        <f t="shared" si="10"/>
        <v>4.4444444444444446</v>
      </c>
      <c r="M102" s="4">
        <f t="shared" si="11"/>
        <v>412.9</v>
      </c>
      <c r="N102" s="4">
        <f t="shared" si="12"/>
        <v>350.32271111111112</v>
      </c>
      <c r="O102" s="4">
        <f t="shared" si="13"/>
        <v>325.36271111111114</v>
      </c>
      <c r="P102" s="4">
        <v>4000</v>
      </c>
      <c r="Q102" s="4">
        <v>185</v>
      </c>
      <c r="R102" s="4">
        <v>0</v>
      </c>
      <c r="S102" s="5" t="s">
        <v>170</v>
      </c>
      <c r="T102" s="5" t="s">
        <v>171</v>
      </c>
      <c r="U102" s="5" t="s">
        <v>21</v>
      </c>
      <c r="V102" s="5" t="s">
        <v>172</v>
      </c>
      <c r="W102" s="5" t="s">
        <v>173</v>
      </c>
    </row>
    <row r="103" spans="1:23" ht="286.05" x14ac:dyDescent="0.3">
      <c r="A103">
        <v>102</v>
      </c>
      <c r="B103" t="s">
        <v>36</v>
      </c>
      <c r="C103" t="s">
        <v>37</v>
      </c>
      <c r="D103" t="s">
        <v>35</v>
      </c>
      <c r="E103" s="3" t="s">
        <v>20</v>
      </c>
      <c r="F103" s="6">
        <v>36</v>
      </c>
      <c r="G103" s="6">
        <v>13</v>
      </c>
      <c r="H103" s="6">
        <v>9.5</v>
      </c>
      <c r="I103" s="6">
        <v>12</v>
      </c>
      <c r="J103" s="6">
        <v>5</v>
      </c>
      <c r="K103" s="4">
        <f t="shared" si="9"/>
        <v>24.5</v>
      </c>
      <c r="L103" s="4">
        <f t="shared" si="10"/>
        <v>5.6818181818181817</v>
      </c>
      <c r="M103" s="4">
        <f t="shared" si="11"/>
        <v>448.35</v>
      </c>
      <c r="N103" s="4">
        <f t="shared" si="12"/>
        <v>372.46676250000002</v>
      </c>
      <c r="O103" s="4">
        <f t="shared" si="13"/>
        <v>335.02676250000002</v>
      </c>
      <c r="P103" s="4">
        <v>4000</v>
      </c>
      <c r="Q103" s="4">
        <v>185</v>
      </c>
      <c r="R103" s="4">
        <v>0</v>
      </c>
      <c r="S103" s="5" t="s">
        <v>174</v>
      </c>
      <c r="T103" s="5" t="s">
        <v>175</v>
      </c>
      <c r="U103" s="5" t="s">
        <v>121</v>
      </c>
      <c r="V103" s="5" t="s">
        <v>176</v>
      </c>
      <c r="W103" s="5" t="s">
        <v>177</v>
      </c>
    </row>
    <row r="104" spans="1:23" ht="135.5" x14ac:dyDescent="0.3">
      <c r="A104">
        <v>103</v>
      </c>
      <c r="B104" t="s">
        <v>228</v>
      </c>
      <c r="C104" t="s">
        <v>34</v>
      </c>
      <c r="D104" t="s">
        <v>35</v>
      </c>
      <c r="E104" s="3" t="s">
        <v>229</v>
      </c>
      <c r="F104" s="6">
        <v>30</v>
      </c>
      <c r="G104" s="6">
        <v>12</v>
      </c>
      <c r="H104" s="6">
        <v>7</v>
      </c>
      <c r="I104" s="6">
        <v>10</v>
      </c>
      <c r="J104" s="6">
        <v>3</v>
      </c>
      <c r="K104" s="4">
        <f t="shared" si="9"/>
        <v>38</v>
      </c>
      <c r="L104" s="4">
        <f t="shared" si="10"/>
        <v>3.3333333333333335</v>
      </c>
      <c r="M104" s="4">
        <f t="shared" si="11"/>
        <v>451.9</v>
      </c>
      <c r="N104" s="4">
        <f t="shared" si="12"/>
        <v>390.59223333333335</v>
      </c>
      <c r="O104" s="4">
        <f t="shared" si="13"/>
        <v>359.39223333333337</v>
      </c>
      <c r="P104" s="4">
        <v>4000</v>
      </c>
      <c r="Q104" s="4">
        <v>185</v>
      </c>
      <c r="R104" s="4">
        <v>0</v>
      </c>
      <c r="S104" s="5" t="s">
        <v>230</v>
      </c>
      <c r="T104" s="5" t="s">
        <v>231</v>
      </c>
      <c r="U104" s="5" t="s">
        <v>48</v>
      </c>
      <c r="V104" s="5" t="s">
        <v>232</v>
      </c>
      <c r="W104" s="5" t="s">
        <v>21</v>
      </c>
    </row>
    <row r="105" spans="1:23" ht="180.65" x14ac:dyDescent="0.3">
      <c r="A105">
        <v>104</v>
      </c>
      <c r="B105" t="s">
        <v>41</v>
      </c>
      <c r="C105" t="s">
        <v>40</v>
      </c>
      <c r="D105" t="s">
        <v>35</v>
      </c>
      <c r="E105" s="3" t="s">
        <v>233</v>
      </c>
      <c r="F105" s="6">
        <v>32</v>
      </c>
      <c r="G105" s="6">
        <v>15</v>
      </c>
      <c r="H105" s="6">
        <v>7.2</v>
      </c>
      <c r="I105" s="6">
        <v>7.5</v>
      </c>
      <c r="J105" s="6">
        <v>4.5999999999999996</v>
      </c>
      <c r="K105" s="4">
        <f t="shared" si="9"/>
        <v>33.700000000000003</v>
      </c>
      <c r="L105" s="4">
        <f t="shared" si="10"/>
        <v>4.9729729729729719</v>
      </c>
      <c r="M105" s="4">
        <f t="shared" si="11"/>
        <v>480.42999999999995</v>
      </c>
      <c r="N105" s="4">
        <f t="shared" si="12"/>
        <v>403.98709470270268</v>
      </c>
      <c r="O105" s="4">
        <f t="shared" si="13"/>
        <v>370.70709470270265</v>
      </c>
      <c r="P105" s="4">
        <v>4000</v>
      </c>
      <c r="Q105" s="4">
        <v>185</v>
      </c>
      <c r="R105" s="4">
        <v>0</v>
      </c>
      <c r="S105" s="5" t="s">
        <v>234</v>
      </c>
      <c r="T105" s="5" t="s">
        <v>235</v>
      </c>
      <c r="U105" s="5" t="s">
        <v>31</v>
      </c>
      <c r="V105" s="5" t="s">
        <v>236</v>
      </c>
      <c r="W105" s="5" t="s">
        <v>21</v>
      </c>
    </row>
    <row r="106" spans="1:23" ht="165.6" x14ac:dyDescent="0.3">
      <c r="A106">
        <v>105</v>
      </c>
      <c r="B106" t="s">
        <v>39</v>
      </c>
      <c r="C106" t="s">
        <v>40</v>
      </c>
      <c r="D106" t="s">
        <v>35</v>
      </c>
      <c r="E106" s="3" t="s">
        <v>237</v>
      </c>
      <c r="F106" s="6">
        <v>37</v>
      </c>
      <c r="G106" s="6">
        <v>12</v>
      </c>
      <c r="H106" s="6">
        <v>8.1999999999999993</v>
      </c>
      <c r="I106" s="6">
        <v>8.1999999999999993</v>
      </c>
      <c r="J106" s="6">
        <v>6.2</v>
      </c>
      <c r="K106" s="4">
        <f t="shared" si="9"/>
        <v>28.399999999999991</v>
      </c>
      <c r="L106" s="4">
        <f t="shared" si="10"/>
        <v>6.7538126361655779</v>
      </c>
      <c r="M106" s="4">
        <f t="shared" si="11"/>
        <v>465.56</v>
      </c>
      <c r="N106" s="4">
        <f t="shared" si="12"/>
        <v>379.62715834422664</v>
      </c>
      <c r="O106" s="4">
        <f t="shared" si="13"/>
        <v>341.14715834422663</v>
      </c>
      <c r="P106" s="4">
        <v>4000</v>
      </c>
      <c r="Q106" s="4">
        <v>185</v>
      </c>
      <c r="R106" s="4">
        <v>0</v>
      </c>
      <c r="S106" s="5" t="s">
        <v>238</v>
      </c>
      <c r="T106" s="5" t="s">
        <v>239</v>
      </c>
      <c r="U106" s="5" t="s">
        <v>31</v>
      </c>
      <c r="V106" s="5" t="s">
        <v>240</v>
      </c>
      <c r="W106" s="5" t="s">
        <v>21</v>
      </c>
    </row>
    <row r="107" spans="1:23" ht="150.55000000000001" x14ac:dyDescent="0.3">
      <c r="A107">
        <v>106</v>
      </c>
      <c r="B107" t="s">
        <v>241</v>
      </c>
      <c r="C107" t="s">
        <v>187</v>
      </c>
      <c r="D107" t="s">
        <v>35</v>
      </c>
      <c r="E107" s="3" t="s">
        <v>45</v>
      </c>
      <c r="F107" s="6">
        <v>32</v>
      </c>
      <c r="G107" s="6">
        <v>16</v>
      </c>
      <c r="H107" s="6">
        <v>8</v>
      </c>
      <c r="I107" s="6">
        <v>10</v>
      </c>
      <c r="J107" s="6">
        <v>3</v>
      </c>
      <c r="K107" s="4">
        <f t="shared" si="9"/>
        <v>31</v>
      </c>
      <c r="L107" s="4">
        <f t="shared" si="10"/>
        <v>3.3333333333333335</v>
      </c>
      <c r="M107" s="4">
        <f t="shared" si="11"/>
        <v>472.2</v>
      </c>
      <c r="N107" s="4">
        <f t="shared" si="12"/>
        <v>408.13819999999998</v>
      </c>
      <c r="O107" s="4">
        <f t="shared" si="13"/>
        <v>374.85820000000001</v>
      </c>
      <c r="P107" s="4">
        <v>4000</v>
      </c>
      <c r="Q107" s="4">
        <v>185</v>
      </c>
      <c r="R107" s="4">
        <v>0</v>
      </c>
      <c r="S107" s="5" t="s">
        <v>242</v>
      </c>
      <c r="T107" s="5" t="s">
        <v>243</v>
      </c>
      <c r="U107" s="5" t="s">
        <v>79</v>
      </c>
      <c r="V107" s="5" t="s">
        <v>244</v>
      </c>
      <c r="W107" s="5" t="s">
        <v>245</v>
      </c>
    </row>
    <row r="108" spans="1:23" ht="210.8" x14ac:dyDescent="0.3">
      <c r="A108">
        <v>107</v>
      </c>
      <c r="B108" t="s">
        <v>241</v>
      </c>
      <c r="C108" t="s">
        <v>187</v>
      </c>
      <c r="D108" t="s">
        <v>35</v>
      </c>
      <c r="E108" s="3" t="s">
        <v>45</v>
      </c>
      <c r="F108" s="6">
        <v>42</v>
      </c>
      <c r="G108" s="6">
        <v>18</v>
      </c>
      <c r="H108" s="6">
        <v>8.3000000000000007</v>
      </c>
      <c r="I108" s="6">
        <v>10</v>
      </c>
      <c r="J108" s="6">
        <v>3</v>
      </c>
      <c r="K108" s="4">
        <f t="shared" si="9"/>
        <v>18.700000000000003</v>
      </c>
      <c r="L108" s="4">
        <f t="shared" si="10"/>
        <v>3.3333333333333335</v>
      </c>
      <c r="M108" s="4">
        <f t="shared" si="11"/>
        <v>497.57000000000005</v>
      </c>
      <c r="N108" s="4">
        <f t="shared" si="12"/>
        <v>430.06633666666676</v>
      </c>
      <c r="O108" s="4">
        <f t="shared" si="13"/>
        <v>386.38633666666675</v>
      </c>
      <c r="P108" s="4">
        <v>4000</v>
      </c>
      <c r="Q108" s="4">
        <v>185</v>
      </c>
      <c r="R108" s="4">
        <v>0</v>
      </c>
      <c r="S108" s="5" t="s">
        <v>246</v>
      </c>
      <c r="T108" s="5" t="s">
        <v>247</v>
      </c>
      <c r="U108" s="5" t="s">
        <v>55</v>
      </c>
      <c r="V108" s="5" t="s">
        <v>248</v>
      </c>
      <c r="W108" s="5" t="s">
        <v>57</v>
      </c>
    </row>
    <row r="109" spans="1:23" ht="150.55000000000001" x14ac:dyDescent="0.3">
      <c r="A109">
        <v>108</v>
      </c>
      <c r="B109" t="s">
        <v>249</v>
      </c>
      <c r="C109" t="s">
        <v>250</v>
      </c>
      <c r="D109" t="s">
        <v>35</v>
      </c>
      <c r="E109" s="3" t="s">
        <v>251</v>
      </c>
      <c r="F109" s="6">
        <v>33</v>
      </c>
      <c r="G109" s="6">
        <v>12</v>
      </c>
      <c r="H109" s="6">
        <v>8</v>
      </c>
      <c r="I109" s="6">
        <v>8</v>
      </c>
      <c r="J109" s="6">
        <v>4</v>
      </c>
      <c r="K109" s="4">
        <f t="shared" si="9"/>
        <v>35</v>
      </c>
      <c r="L109" s="4">
        <f t="shared" si="10"/>
        <v>4.3478260869565215</v>
      </c>
      <c r="M109" s="4">
        <f t="shared" si="11"/>
        <v>460.79999999999995</v>
      </c>
      <c r="N109" s="4">
        <f t="shared" si="12"/>
        <v>391.59986086956519</v>
      </c>
      <c r="O109" s="4">
        <f t="shared" si="13"/>
        <v>357.2798608695652</v>
      </c>
      <c r="P109" s="4">
        <v>4000</v>
      </c>
      <c r="Q109" s="4">
        <v>185</v>
      </c>
      <c r="R109" s="4">
        <v>0</v>
      </c>
      <c r="S109" s="5" t="s">
        <v>252</v>
      </c>
      <c r="T109" s="5" t="s">
        <v>253</v>
      </c>
      <c r="U109" s="5" t="s">
        <v>55</v>
      </c>
      <c r="V109" s="5" t="s">
        <v>254</v>
      </c>
      <c r="W109" s="5" t="s">
        <v>51</v>
      </c>
    </row>
    <row r="110" spans="1:23" ht="195.75" x14ac:dyDescent="0.3">
      <c r="A110">
        <v>109</v>
      </c>
      <c r="B110" t="s">
        <v>255</v>
      </c>
      <c r="C110" t="s">
        <v>250</v>
      </c>
      <c r="D110" t="s">
        <v>35</v>
      </c>
      <c r="E110" s="3" t="s">
        <v>256</v>
      </c>
      <c r="F110" s="6">
        <v>34</v>
      </c>
      <c r="G110" s="6">
        <v>15</v>
      </c>
      <c r="H110" s="6">
        <v>8</v>
      </c>
      <c r="I110" s="6">
        <v>10</v>
      </c>
      <c r="J110" s="6">
        <v>2.5</v>
      </c>
      <c r="K110" s="4">
        <f t="shared" si="9"/>
        <v>30.5</v>
      </c>
      <c r="L110" s="4">
        <f t="shared" si="10"/>
        <v>2.7777777777777777</v>
      </c>
      <c r="M110" s="4">
        <f t="shared" si="11"/>
        <v>470.1</v>
      </c>
      <c r="N110" s="4">
        <f t="shared" si="12"/>
        <v>410.05778333333336</v>
      </c>
      <c r="O110" s="4">
        <f t="shared" si="13"/>
        <v>374.69778333333335</v>
      </c>
      <c r="P110" s="4">
        <v>4000</v>
      </c>
      <c r="Q110" s="4">
        <v>185</v>
      </c>
      <c r="R110" s="4">
        <v>0</v>
      </c>
      <c r="S110" s="5" t="s">
        <v>257</v>
      </c>
      <c r="T110" s="5" t="s">
        <v>258</v>
      </c>
      <c r="U110" s="5" t="s">
        <v>55</v>
      </c>
      <c r="V110" s="5" t="s">
        <v>259</v>
      </c>
      <c r="W110" s="5" t="s">
        <v>51</v>
      </c>
    </row>
    <row r="111" spans="1:23" ht="150.55000000000001" x14ac:dyDescent="0.3">
      <c r="A111">
        <v>110</v>
      </c>
      <c r="B111" t="s">
        <v>38</v>
      </c>
      <c r="C111" t="s">
        <v>369</v>
      </c>
      <c r="D111" t="s">
        <v>35</v>
      </c>
      <c r="E111" s="3" t="s">
        <v>260</v>
      </c>
      <c r="F111" s="6">
        <v>36</v>
      </c>
      <c r="G111" s="6">
        <v>14</v>
      </c>
      <c r="H111" s="6">
        <v>9</v>
      </c>
      <c r="I111" s="6">
        <v>10</v>
      </c>
      <c r="J111" s="6">
        <v>4</v>
      </c>
      <c r="K111" s="4">
        <f t="shared" si="9"/>
        <v>27</v>
      </c>
      <c r="L111" s="4">
        <f t="shared" si="10"/>
        <v>4.4444444444444446</v>
      </c>
      <c r="M111" s="4">
        <f t="shared" si="11"/>
        <v>463.9</v>
      </c>
      <c r="N111" s="4">
        <f t="shared" si="12"/>
        <v>393.59337777777779</v>
      </c>
      <c r="O111" s="4">
        <f t="shared" si="13"/>
        <v>356.15337777777779</v>
      </c>
      <c r="P111" s="4">
        <v>4000</v>
      </c>
      <c r="Q111" s="4">
        <v>185</v>
      </c>
      <c r="R111" s="4">
        <v>0</v>
      </c>
      <c r="S111" s="5" t="s">
        <v>261</v>
      </c>
      <c r="T111" s="5" t="s">
        <v>73</v>
      </c>
      <c r="U111" s="5" t="s">
        <v>33</v>
      </c>
      <c r="V111" s="5" t="s">
        <v>74</v>
      </c>
      <c r="W111" s="5" t="s">
        <v>57</v>
      </c>
    </row>
    <row r="112" spans="1:23" ht="255.95" x14ac:dyDescent="0.3">
      <c r="A112">
        <v>111</v>
      </c>
      <c r="B112" t="s">
        <v>38</v>
      </c>
      <c r="C112" t="s">
        <v>369</v>
      </c>
      <c r="D112" t="s">
        <v>35</v>
      </c>
      <c r="E112" s="3" t="s">
        <v>262</v>
      </c>
      <c r="F112" s="6">
        <v>37</v>
      </c>
      <c r="G112" s="6">
        <v>12</v>
      </c>
      <c r="H112" s="6">
        <v>9</v>
      </c>
      <c r="I112" s="6">
        <v>10</v>
      </c>
      <c r="J112" s="6">
        <v>4</v>
      </c>
      <c r="K112" s="4">
        <f t="shared" si="9"/>
        <v>28</v>
      </c>
      <c r="L112" s="4">
        <f t="shared" si="10"/>
        <v>4.4444444444444446</v>
      </c>
      <c r="M112" s="4">
        <f t="shared" si="11"/>
        <v>454.90000000000003</v>
      </c>
      <c r="N112" s="4">
        <f t="shared" si="12"/>
        <v>385.95737777777782</v>
      </c>
      <c r="O112" s="4">
        <f t="shared" si="13"/>
        <v>347.4773777777778</v>
      </c>
      <c r="P112" s="4">
        <v>4000</v>
      </c>
      <c r="Q112" s="4">
        <v>185</v>
      </c>
      <c r="R112" s="4">
        <v>0</v>
      </c>
      <c r="S112" s="5" t="s">
        <v>263</v>
      </c>
      <c r="T112" s="5" t="s">
        <v>264</v>
      </c>
      <c r="U112" s="5" t="s">
        <v>48</v>
      </c>
      <c r="V112" s="5" t="s">
        <v>49</v>
      </c>
      <c r="W112" s="5" t="s">
        <v>21</v>
      </c>
    </row>
    <row r="113" spans="1:23" ht="195.75" x14ac:dyDescent="0.3">
      <c r="A113">
        <v>112</v>
      </c>
      <c r="B113" t="s">
        <v>345</v>
      </c>
      <c r="C113" t="s">
        <v>309</v>
      </c>
      <c r="D113" t="s">
        <v>35</v>
      </c>
      <c r="E113" s="3" t="s">
        <v>346</v>
      </c>
      <c r="F113" s="6">
        <v>25</v>
      </c>
      <c r="G113" s="6">
        <v>20</v>
      </c>
      <c r="H113" s="6">
        <v>6</v>
      </c>
      <c r="I113" s="6">
        <v>10</v>
      </c>
      <c r="J113" s="6">
        <v>3.5</v>
      </c>
      <c r="K113" s="4">
        <f t="shared" si="9"/>
        <v>35.5</v>
      </c>
      <c r="L113" s="4">
        <f t="shared" si="10"/>
        <v>3.8888888888888888</v>
      </c>
      <c r="M113" s="4">
        <f t="shared" si="11"/>
        <v>490.4</v>
      </c>
      <c r="N113" s="4">
        <f t="shared" si="12"/>
        <v>419.97311111111105</v>
      </c>
      <c r="O113" s="4">
        <f t="shared" si="13"/>
        <v>393.97311111111105</v>
      </c>
      <c r="P113" s="4">
        <v>4000</v>
      </c>
      <c r="Q113" s="4">
        <v>185</v>
      </c>
      <c r="R113" s="4">
        <v>0</v>
      </c>
      <c r="S113" s="5" t="s">
        <v>347</v>
      </c>
      <c r="T113" s="5" t="s">
        <v>348</v>
      </c>
      <c r="U113" s="5" t="s">
        <v>21</v>
      </c>
      <c r="V113" s="5" t="s">
        <v>349</v>
      </c>
      <c r="W113" s="5" t="s">
        <v>21</v>
      </c>
    </row>
    <row r="114" spans="1:23" ht="120.45" x14ac:dyDescent="0.3">
      <c r="A114">
        <v>113</v>
      </c>
      <c r="B114" t="s">
        <v>350</v>
      </c>
      <c r="C114" t="s">
        <v>283</v>
      </c>
      <c r="D114" t="s">
        <v>35</v>
      </c>
      <c r="E114" s="3" t="s">
        <v>351</v>
      </c>
      <c r="F114" s="6">
        <v>33</v>
      </c>
      <c r="G114" s="6">
        <v>15</v>
      </c>
      <c r="H114" s="6">
        <v>8</v>
      </c>
      <c r="I114" s="6">
        <v>8</v>
      </c>
      <c r="J114" s="6">
        <v>5</v>
      </c>
      <c r="K114" s="4">
        <f t="shared" si="9"/>
        <v>31</v>
      </c>
      <c r="L114" s="4">
        <f t="shared" si="10"/>
        <v>5.4347826086956523</v>
      </c>
      <c r="M114" s="4">
        <f t="shared" si="11"/>
        <v>476.70000000000005</v>
      </c>
      <c r="N114" s="4">
        <f t="shared" si="12"/>
        <v>397.70251956521747</v>
      </c>
      <c r="O114" s="4">
        <f t="shared" si="13"/>
        <v>363.38251956521748</v>
      </c>
      <c r="P114" s="4">
        <v>4000</v>
      </c>
      <c r="Q114" s="4">
        <v>185</v>
      </c>
      <c r="R114" s="4">
        <v>0</v>
      </c>
      <c r="S114" s="5" t="s">
        <v>352</v>
      </c>
      <c r="T114" s="5" t="s">
        <v>75</v>
      </c>
      <c r="U114" s="5" t="s">
        <v>33</v>
      </c>
      <c r="V114" s="5" t="s">
        <v>76</v>
      </c>
      <c r="W114" s="5" t="s">
        <v>21</v>
      </c>
    </row>
    <row r="115" spans="1:23" ht="195.75" x14ac:dyDescent="0.3">
      <c r="A115">
        <v>114</v>
      </c>
      <c r="B115" t="s">
        <v>353</v>
      </c>
      <c r="C115" t="s">
        <v>354</v>
      </c>
      <c r="D115" t="s">
        <v>35</v>
      </c>
      <c r="E115" s="3" t="s">
        <v>260</v>
      </c>
      <c r="F115" s="6">
        <v>31</v>
      </c>
      <c r="G115" s="6">
        <v>15</v>
      </c>
      <c r="H115" s="6">
        <v>6.5</v>
      </c>
      <c r="I115" s="6">
        <v>10</v>
      </c>
      <c r="J115" s="6">
        <v>2.5</v>
      </c>
      <c r="K115" s="4">
        <f t="shared" si="9"/>
        <v>35</v>
      </c>
      <c r="L115" s="4">
        <f t="shared" si="10"/>
        <v>2.7777777777777777</v>
      </c>
      <c r="M115" s="4">
        <f t="shared" si="11"/>
        <v>471.45000000000005</v>
      </c>
      <c r="N115" s="4">
        <f t="shared" si="12"/>
        <v>411.23535833333335</v>
      </c>
      <c r="O115" s="4">
        <f t="shared" si="13"/>
        <v>378.99535833333334</v>
      </c>
      <c r="P115" s="4">
        <v>4000</v>
      </c>
      <c r="Q115" s="4">
        <v>185</v>
      </c>
      <c r="R115" s="4">
        <v>0</v>
      </c>
      <c r="S115" s="5" t="s">
        <v>355</v>
      </c>
      <c r="T115" s="5" t="s">
        <v>356</v>
      </c>
      <c r="U115" s="5" t="s">
        <v>24</v>
      </c>
      <c r="V115" s="5" t="s">
        <v>357</v>
      </c>
      <c r="W115" s="5" t="s">
        <v>21</v>
      </c>
    </row>
    <row r="116" spans="1:23" ht="135.5" x14ac:dyDescent="0.3">
      <c r="A116">
        <v>115</v>
      </c>
      <c r="B116" t="s">
        <v>358</v>
      </c>
      <c r="C116" t="s">
        <v>153</v>
      </c>
      <c r="D116" t="s">
        <v>35</v>
      </c>
      <c r="E116" s="3" t="s">
        <v>359</v>
      </c>
      <c r="F116" s="6">
        <v>32</v>
      </c>
      <c r="G116" s="6">
        <v>22</v>
      </c>
      <c r="H116" s="6">
        <v>8</v>
      </c>
      <c r="I116" s="6">
        <v>8</v>
      </c>
      <c r="J116" s="6">
        <v>2.7</v>
      </c>
      <c r="K116" s="4">
        <f t="shared" si="9"/>
        <v>27.299999999999997</v>
      </c>
      <c r="L116" s="4">
        <f t="shared" si="10"/>
        <v>2.9347826086956523</v>
      </c>
      <c r="M116" s="4">
        <f t="shared" si="11"/>
        <v>512.20000000000005</v>
      </c>
      <c r="N116" s="4">
        <f t="shared" si="12"/>
        <v>445.63070217391311</v>
      </c>
      <c r="O116" s="4">
        <f t="shared" si="13"/>
        <v>412.35070217391308</v>
      </c>
      <c r="P116" s="4">
        <v>4000</v>
      </c>
      <c r="Q116" s="4">
        <v>185</v>
      </c>
      <c r="R116" s="4">
        <v>0</v>
      </c>
      <c r="S116" s="5" t="s">
        <v>360</v>
      </c>
      <c r="T116" s="5" t="s">
        <v>361</v>
      </c>
      <c r="U116" s="5" t="s">
        <v>31</v>
      </c>
      <c r="V116" s="5" t="s">
        <v>77</v>
      </c>
      <c r="W116" s="5" t="s">
        <v>362</v>
      </c>
    </row>
    <row r="117" spans="1:23" ht="165.6" x14ac:dyDescent="0.3">
      <c r="A117">
        <v>116</v>
      </c>
      <c r="B117" t="s">
        <v>363</v>
      </c>
      <c r="C117" t="s">
        <v>153</v>
      </c>
      <c r="D117" t="s">
        <v>35</v>
      </c>
      <c r="E117" s="3" t="s">
        <v>364</v>
      </c>
      <c r="F117" s="6">
        <v>34.5</v>
      </c>
      <c r="G117" s="6">
        <v>15</v>
      </c>
      <c r="H117" s="6">
        <v>8.9</v>
      </c>
      <c r="I117" s="6">
        <v>7.5</v>
      </c>
      <c r="J117" s="6">
        <v>2.9</v>
      </c>
      <c r="K117" s="4">
        <f t="shared" si="9"/>
        <v>31.199999999999989</v>
      </c>
      <c r="L117" s="4">
        <f t="shared" si="10"/>
        <v>3.1351351351351351</v>
      </c>
      <c r="M117" s="4">
        <f t="shared" si="11"/>
        <v>477.45999999999992</v>
      </c>
      <c r="N117" s="4">
        <f t="shared" si="12"/>
        <v>414.03782681081083</v>
      </c>
      <c r="O117" s="4">
        <f t="shared" si="13"/>
        <v>378.15782681081083</v>
      </c>
      <c r="P117" s="4">
        <v>4000</v>
      </c>
      <c r="Q117" s="4">
        <v>185</v>
      </c>
      <c r="R117" s="4">
        <v>0</v>
      </c>
      <c r="S117" s="5" t="s">
        <v>365</v>
      </c>
      <c r="T117" s="5" t="s">
        <v>366</v>
      </c>
      <c r="U117" s="5" t="s">
        <v>71</v>
      </c>
      <c r="V117" s="5" t="s">
        <v>367</v>
      </c>
      <c r="W117" s="5" t="s">
        <v>60</v>
      </c>
    </row>
  </sheetData>
  <autoFilter ref="A1:W117" xr:uid="{D9CA604B-470B-423A-8831-67E616DB60F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comercial_diets_ecuador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Melo Durán</cp:lastModifiedBy>
  <dcterms:created xsi:type="dcterms:W3CDTF">2026-05-05T18:37:45Z</dcterms:created>
  <dcterms:modified xsi:type="dcterms:W3CDTF">2026-06-23T15:13:00Z</dcterms:modified>
</cp:coreProperties>
</file>