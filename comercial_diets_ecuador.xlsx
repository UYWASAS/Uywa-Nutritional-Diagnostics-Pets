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ownloads\"/>
    </mc:Choice>
  </mc:AlternateContent>
  <xr:revisionPtr revIDLastSave="0" documentId="13_ncr:1_{31A3512D-4F26-4C28-B895-D85C6C3B6EF5}" xr6:coauthVersionLast="47" xr6:coauthVersionMax="47" xr10:uidLastSave="{00000000-0000-0000-0000-000000000000}"/>
  <bookViews>
    <workbookView xWindow="17764" yWindow="-118" windowWidth="21181" windowHeight="11311" xr2:uid="{7AE70C04-F77D-4B60-BB57-85E0702DB99F}"/>
  </bookViews>
  <sheets>
    <sheet name="comercial_diets_ecuador" sheetId="1" r:id="rId1"/>
  </sheets>
  <definedNames>
    <definedName name="_xlnm._FilterDatabase" localSheetId="0" hidden="1">comercial_diets_ecuador!$A$1:$U$296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/>
  <c r="M3" i="1"/>
  <c r="N3" i="1"/>
  <c r="O3" i="1"/>
  <c r="K4" i="1"/>
  <c r="L4" i="1"/>
  <c r="M4" i="1"/>
  <c r="N4" i="1"/>
  <c r="O4" i="1"/>
  <c r="K5" i="1"/>
  <c r="M5" i="1" s="1"/>
  <c r="L5" i="1"/>
  <c r="N5" i="1" s="1"/>
  <c r="O5" i="1" s="1"/>
  <c r="K6" i="1"/>
  <c r="L6" i="1"/>
  <c r="M6" i="1"/>
  <c r="N6" i="1"/>
  <c r="O6" i="1"/>
  <c r="K7" i="1"/>
  <c r="L7" i="1"/>
  <c r="M7" i="1"/>
  <c r="N7" i="1"/>
  <c r="O7" i="1" s="1"/>
  <c r="K8" i="1"/>
  <c r="L8" i="1"/>
  <c r="M8" i="1"/>
  <c r="N8" i="1"/>
  <c r="O8" i="1"/>
  <c r="K9" i="1"/>
  <c r="L9" i="1"/>
  <c r="M9" i="1"/>
  <c r="N9" i="1"/>
  <c r="O9" i="1"/>
  <c r="K10" i="1"/>
  <c r="M10" i="1" s="1"/>
  <c r="N10" i="1" s="1"/>
  <c r="O10" i="1" s="1"/>
  <c r="L10" i="1"/>
  <c r="K11" i="1"/>
  <c r="L11" i="1"/>
  <c r="M11" i="1"/>
  <c r="N11" i="1"/>
  <c r="O11" i="1"/>
  <c r="K12" i="1"/>
  <c r="L12" i="1"/>
  <c r="N12" i="1" s="1"/>
  <c r="O12" i="1" s="1"/>
  <c r="M12" i="1"/>
  <c r="K13" i="1"/>
  <c r="L13" i="1"/>
  <c r="M13" i="1"/>
  <c r="N13" i="1"/>
  <c r="O13" i="1"/>
  <c r="K14" i="1"/>
  <c r="L14" i="1"/>
  <c r="M14" i="1"/>
  <c r="N14" i="1"/>
  <c r="O14" i="1"/>
  <c r="K15" i="1"/>
  <c r="L15" i="1"/>
  <c r="M15" i="1"/>
  <c r="N15" i="1"/>
  <c r="O15" i="1"/>
  <c r="K16" i="1"/>
  <c r="L16" i="1"/>
  <c r="M16" i="1"/>
  <c r="N16" i="1"/>
  <c r="O16" i="1"/>
  <c r="K17" i="1"/>
  <c r="M17" i="1" s="1"/>
  <c r="L17" i="1"/>
  <c r="N17" i="1" s="1"/>
  <c r="O17" i="1" s="1"/>
  <c r="K18" i="1"/>
  <c r="L18" i="1"/>
  <c r="M18" i="1"/>
  <c r="N18" i="1"/>
  <c r="O18" i="1"/>
  <c r="K19" i="1"/>
  <c r="L19" i="1"/>
  <c r="M19" i="1"/>
  <c r="N19" i="1"/>
  <c r="O19" i="1" s="1"/>
  <c r="K20" i="1"/>
  <c r="L20" i="1"/>
  <c r="M20" i="1"/>
  <c r="N20" i="1"/>
  <c r="O20" i="1"/>
  <c r="K21" i="1"/>
  <c r="L21" i="1"/>
  <c r="M21" i="1"/>
  <c r="N21" i="1"/>
  <c r="O21" i="1"/>
  <c r="K22" i="1"/>
  <c r="M22" i="1" s="1"/>
  <c r="N22" i="1" s="1"/>
  <c r="O22" i="1" s="1"/>
  <c r="L22" i="1"/>
  <c r="K23" i="1"/>
  <c r="L23" i="1"/>
  <c r="M23" i="1"/>
  <c r="N23" i="1"/>
  <c r="O23" i="1"/>
  <c r="K24" i="1"/>
  <c r="L24" i="1"/>
  <c r="N24" i="1" s="1"/>
  <c r="O24" i="1" s="1"/>
  <c r="M24" i="1"/>
  <c r="K25" i="1"/>
  <c r="L25" i="1"/>
  <c r="M25" i="1"/>
  <c r="N25" i="1"/>
  <c r="O25" i="1"/>
  <c r="K26" i="1"/>
  <c r="L26" i="1"/>
  <c r="M26" i="1"/>
  <c r="N26" i="1"/>
  <c r="O26" i="1"/>
  <c r="K27" i="1"/>
  <c r="L27" i="1"/>
  <c r="M27" i="1"/>
  <c r="N27" i="1"/>
  <c r="O27" i="1"/>
  <c r="K28" i="1"/>
  <c r="L28" i="1"/>
  <c r="M28" i="1"/>
  <c r="N28" i="1"/>
  <c r="O28" i="1"/>
  <c r="K29" i="1"/>
  <c r="M29" i="1" s="1"/>
  <c r="L29" i="1"/>
  <c r="N29" i="1" s="1"/>
  <c r="O29" i="1" s="1"/>
  <c r="K30" i="1"/>
  <c r="L30" i="1"/>
  <c r="M30" i="1"/>
  <c r="N30" i="1"/>
  <c r="O30" i="1"/>
  <c r="K31" i="1"/>
  <c r="L31" i="1"/>
  <c r="M31" i="1"/>
  <c r="N31" i="1"/>
  <c r="O31" i="1" s="1"/>
  <c r="K32" i="1"/>
  <c r="L32" i="1"/>
  <c r="M32" i="1"/>
  <c r="N32" i="1"/>
  <c r="O32" i="1"/>
  <c r="K33" i="1"/>
  <c r="L33" i="1"/>
  <c r="M33" i="1"/>
  <c r="N33" i="1"/>
  <c r="O33" i="1"/>
  <c r="K34" i="1"/>
  <c r="M34" i="1" s="1"/>
  <c r="N34" i="1" s="1"/>
  <c r="O34" i="1" s="1"/>
  <c r="L34" i="1"/>
  <c r="K35" i="1"/>
  <c r="L35" i="1"/>
  <c r="M35" i="1"/>
  <c r="N35" i="1"/>
  <c r="O35" i="1"/>
  <c r="K36" i="1"/>
  <c r="L36" i="1"/>
  <c r="N36" i="1" s="1"/>
  <c r="O36" i="1" s="1"/>
  <c r="M36" i="1"/>
  <c r="K37" i="1"/>
  <c r="L37" i="1"/>
  <c r="M37" i="1"/>
  <c r="N37" i="1"/>
  <c r="O37" i="1"/>
  <c r="K38" i="1"/>
  <c r="L38" i="1"/>
  <c r="M38" i="1"/>
  <c r="N38" i="1"/>
  <c r="O38" i="1"/>
  <c r="K39" i="1"/>
  <c r="L39" i="1"/>
  <c r="M39" i="1"/>
  <c r="N39" i="1"/>
  <c r="O39" i="1"/>
  <c r="K40" i="1"/>
  <c r="L40" i="1"/>
  <c r="M40" i="1"/>
  <c r="N40" i="1"/>
  <c r="O40" i="1"/>
  <c r="K41" i="1"/>
  <c r="M41" i="1" s="1"/>
  <c r="L41" i="1"/>
  <c r="N41" i="1" s="1"/>
  <c r="O41" i="1" s="1"/>
  <c r="K42" i="1"/>
  <c r="L42" i="1"/>
  <c r="M42" i="1"/>
  <c r="N42" i="1"/>
  <c r="O42" i="1"/>
  <c r="K43" i="1"/>
  <c r="L43" i="1"/>
  <c r="M43" i="1"/>
  <c r="N43" i="1"/>
  <c r="O43" i="1" s="1"/>
  <c r="K44" i="1"/>
  <c r="L44" i="1"/>
  <c r="M44" i="1"/>
  <c r="N44" i="1"/>
  <c r="O44" i="1"/>
  <c r="K45" i="1"/>
  <c r="L45" i="1"/>
  <c r="M45" i="1"/>
  <c r="N45" i="1"/>
  <c r="O45" i="1"/>
  <c r="K46" i="1"/>
  <c r="M46" i="1" s="1"/>
  <c r="N46" i="1" s="1"/>
  <c r="O46" i="1" s="1"/>
  <c r="L46" i="1"/>
  <c r="K47" i="1"/>
  <c r="L47" i="1"/>
  <c r="M47" i="1"/>
  <c r="N47" i="1"/>
  <c r="O47" i="1"/>
  <c r="K48" i="1"/>
  <c r="L48" i="1"/>
  <c r="N48" i="1" s="1"/>
  <c r="O48" i="1" s="1"/>
  <c r="M48" i="1"/>
  <c r="K49" i="1"/>
  <c r="L49" i="1"/>
  <c r="M49" i="1"/>
  <c r="N49" i="1"/>
  <c r="O49" i="1"/>
  <c r="K50" i="1"/>
  <c r="L50" i="1"/>
  <c r="M50" i="1"/>
  <c r="N50" i="1"/>
  <c r="O50" i="1"/>
  <c r="K51" i="1"/>
  <c r="L51" i="1"/>
  <c r="M51" i="1"/>
  <c r="N51" i="1"/>
  <c r="O51" i="1"/>
  <c r="K52" i="1"/>
  <c r="L52" i="1"/>
  <c r="M52" i="1"/>
  <c r="N52" i="1"/>
  <c r="O52" i="1"/>
  <c r="K53" i="1"/>
  <c r="M53" i="1" s="1"/>
  <c r="L53" i="1"/>
  <c r="N53" i="1" s="1"/>
  <c r="O53" i="1" s="1"/>
  <c r="K54" i="1"/>
  <c r="L54" i="1"/>
  <c r="M54" i="1"/>
  <c r="N54" i="1"/>
  <c r="O54" i="1"/>
  <c r="K55" i="1"/>
  <c r="L55" i="1"/>
  <c r="M55" i="1"/>
  <c r="N55" i="1"/>
  <c r="O55" i="1" s="1"/>
  <c r="K56" i="1"/>
  <c r="L56" i="1"/>
  <c r="M56" i="1"/>
  <c r="N56" i="1"/>
  <c r="O56" i="1"/>
  <c r="K57" i="1"/>
  <c r="L57" i="1"/>
  <c r="M57" i="1"/>
  <c r="N57" i="1"/>
  <c r="O57" i="1"/>
  <c r="K58" i="1"/>
  <c r="M58" i="1" s="1"/>
  <c r="N58" i="1" s="1"/>
  <c r="O58" i="1" s="1"/>
  <c r="L58" i="1"/>
  <c r="K59" i="1"/>
  <c r="L59" i="1"/>
  <c r="M59" i="1"/>
  <c r="N59" i="1"/>
  <c r="O59" i="1"/>
  <c r="K60" i="1"/>
  <c r="L60" i="1"/>
  <c r="N60" i="1" s="1"/>
  <c r="O60" i="1" s="1"/>
  <c r="M60" i="1"/>
  <c r="K61" i="1"/>
  <c r="L61" i="1"/>
  <c r="M61" i="1"/>
  <c r="N61" i="1"/>
  <c r="O61" i="1"/>
  <c r="L2" i="1"/>
  <c r="K2" i="1"/>
  <c r="M2" i="1" s="1"/>
  <c r="N2" i="1" l="1"/>
  <c r="O2" i="1" s="1"/>
</calcChain>
</file>

<file path=xl/sharedStrings.xml><?xml version="1.0" encoding="utf-8"?>
<sst xmlns="http://schemas.openxmlformats.org/spreadsheetml/2006/main" count="561" uniqueCount="370">
  <si>
    <t>ID</t>
  </si>
  <si>
    <t>Nombre</t>
  </si>
  <si>
    <t>Marca</t>
  </si>
  <si>
    <t>Especie</t>
  </si>
  <si>
    <t>Etapa_de_Vida</t>
  </si>
  <si>
    <t>PB(%)</t>
  </si>
  <si>
    <t>EE(%)</t>
  </si>
  <si>
    <t>Ash(%)</t>
  </si>
  <si>
    <t>Humedad(%)</t>
  </si>
  <si>
    <t>FC(%)</t>
  </si>
  <si>
    <t>ENA(%)</t>
  </si>
  <si>
    <t>FC_MS (%)</t>
  </si>
  <si>
    <t>GE(kcal)</t>
  </si>
  <si>
    <t>DE(kcal)</t>
  </si>
  <si>
    <t>ME(kcal)</t>
  </si>
  <si>
    <t>Precio_USD_kg</t>
  </si>
  <si>
    <t>Fuente_PB</t>
  </si>
  <si>
    <t>Fuente_EE</t>
  </si>
  <si>
    <t>Fuente_FC</t>
  </si>
  <si>
    <t>Otros</t>
  </si>
  <si>
    <t>Adulto</t>
  </si>
  <si>
    <t>—</t>
  </si>
  <si>
    <t>Adultos</t>
  </si>
  <si>
    <t>Bosch</t>
  </si>
  <si>
    <t>Grasa animal</t>
  </si>
  <si>
    <t>Earthborn Holistic Weight Control</t>
  </si>
  <si>
    <t>Gosbi</t>
  </si>
  <si>
    <t>Monge</t>
  </si>
  <si>
    <t>ProCan</t>
  </si>
  <si>
    <t>Pronaca</t>
  </si>
  <si>
    <t>ROYAL CANIN</t>
  </si>
  <si>
    <t>Grasas animales</t>
  </si>
  <si>
    <t>Royal Canin</t>
  </si>
  <si>
    <t>Aceite de pollo</t>
  </si>
  <si>
    <t>Vitalcan Balanced</t>
  </si>
  <si>
    <t>Felino</t>
  </si>
  <si>
    <t>Cat Chow</t>
  </si>
  <si>
    <t>Purina</t>
  </si>
  <si>
    <t>Wellness</t>
  </si>
  <si>
    <t>Royal canin Sterilised 37</t>
  </si>
  <si>
    <t>Royal canin</t>
  </si>
  <si>
    <t>Royal Canin Fit 32</t>
  </si>
  <si>
    <t>Mimaskot</t>
  </si>
  <si>
    <t>Molitalia</t>
  </si>
  <si>
    <t>Razza</t>
  </si>
  <si>
    <t>Todas las etapas</t>
  </si>
  <si>
    <t>Ingredientes (10 primeros de la lista)</t>
  </si>
  <si>
    <t>Aceite de pollo; Palmiste</t>
  </si>
  <si>
    <t>Aceite de pollo; Aceite de pescado</t>
  </si>
  <si>
    <t>Almidón de yuca</t>
  </si>
  <si>
    <t>Arroz; Maíz; Pulpa de remolacha</t>
  </si>
  <si>
    <t>Levadura de cerveza</t>
  </si>
  <si>
    <t>Aceite de salmón</t>
  </si>
  <si>
    <t>Grasa de pollo; Aceite de pescado</t>
  </si>
  <si>
    <t>Grasa animal y/o vegetal</t>
  </si>
  <si>
    <t>Grasa de pollo</t>
  </si>
  <si>
    <t>Levadura de cerveza seca</t>
  </si>
  <si>
    <t>Cloruro de potasio</t>
  </si>
  <si>
    <t>Harina de subproductos de pollo; Producto de huevo seco</t>
  </si>
  <si>
    <t>Harina de maíz; Trigo integral molido; Sorgo integral molido; Arroz de cervecería; Pulpa de remolacha seca</t>
  </si>
  <si>
    <t>Minerales</t>
  </si>
  <si>
    <t>Sal</t>
  </si>
  <si>
    <t>Arroz; Pulpa de remolacha; Cáscara de soja</t>
  </si>
  <si>
    <t>Harina de subproductos de pollo; Gluten de maíz; Huevo en polvo; Hidrolizado proteico de pollo</t>
  </si>
  <si>
    <t>Maíz; Arroz; Pulpa de remolacha</t>
  </si>
  <si>
    <t>Levadura de cerveza inactivada</t>
  </si>
  <si>
    <t>Grasa animal (aceite de pollo purificado); Semillas de lino</t>
  </si>
  <si>
    <t>Arroz; Maíz; Trigo; Pulpa de cítricos deshidratada</t>
  </si>
  <si>
    <t>Aceite de pollo y/o grasa vacuna</t>
  </si>
  <si>
    <t>Maíz; Arroz; Coproductos de trigo; Sorgo; Coproductos de arroz</t>
  </si>
  <si>
    <t>Saborizante (hidrolizados líquidos/polvo)</t>
  </si>
  <si>
    <t>Grasas animales; Aceite de pescado</t>
  </si>
  <si>
    <t>Grasas animales; Aceite de pescado; Aceite de soja</t>
  </si>
  <si>
    <t>Harina de salmón; Harina de pollo; Harina de arveja; Huevo en polvo; Harina de calamar; Harina de pescado</t>
  </si>
  <si>
    <t>Almidón de yuca; Pulpa de remolacha</t>
  </si>
  <si>
    <t>Harina de pavo; Hidrolizado de hígado porcino deshidratado; Arvejas secas</t>
  </si>
  <si>
    <t>Arroz; Cebada; Pulpa de remolacha; Avena; Celulosa en polvo; Coco deshidratado</t>
  </si>
  <si>
    <t>Arroz; Maíz; Fibras vegetales; Pulpa de remolacha</t>
  </si>
  <si>
    <t>Sabor natural</t>
  </si>
  <si>
    <t>Aceite de canola</t>
  </si>
  <si>
    <t>Canino</t>
  </si>
  <si>
    <t>Cachorro-Razas pequeñas</t>
  </si>
  <si>
    <t>Harina de pollo; Coproductos de procesamiento de aves; Pasta de soya; Gluten de maíz; Grasa animal y/o vegetal; Maíz; Coproductos de trigo; Coproductos de arroz; Pulpa de remolacha; Levadura de cerveza</t>
  </si>
  <si>
    <t>Harina de pollo; Coproductos de procesamiento de aves; Pasta de soya; Gluten de maíz</t>
  </si>
  <si>
    <t>Maíz; Coproductos de trigo; Coproductos de arroz; Pulpa de remolacha</t>
  </si>
  <si>
    <t>Cachorro-Razas medianas &amp; Grandes</t>
  </si>
  <si>
    <t>Senior- 7 + años</t>
  </si>
  <si>
    <t>Coproductos de procesamiento de aves y/o cerdos; Gluten de maíz; Pasta de soya; Grasa animal y/o vegetal; Maíz; Arroz; Coproductos de trigo; Sorgo; Coproductos de arroz; Saborizante (hidrolizados líquidos/polvo)</t>
  </si>
  <si>
    <t>Coproductos de procesamiento de aves y/o cerdos; Gluten de maíz; Pasta de soya</t>
  </si>
  <si>
    <t>Nutri Blance</t>
  </si>
  <si>
    <t>Animal Planet</t>
  </si>
  <si>
    <t>Adultos Razas Medianas Y Grandes</t>
  </si>
  <si>
    <t>Harina de ave; Proteína hidrolizada de ave y/o cerdo; Proteína hidrolizada de pescado; Harina de carne y hueso bovino; Grasa de aves de corral y/o vegetal; Arroz; Maíz; Salvado de arroz; Harinilla de trigo; Levadura de cerveza</t>
  </si>
  <si>
    <t>Harina de ave; Proteína hidrolizada de ave y/o cerdo; Proteína hidrolizada de pescado; Harina de carne y hueso bovino</t>
  </si>
  <si>
    <t>Grasa de aves de corral y/o vegetal</t>
  </si>
  <si>
    <t>Arroz; Maíz; Salvado de arroz; Harinilla de trigo</t>
  </si>
  <si>
    <t>Pro Plan</t>
  </si>
  <si>
    <t>Purina Pro Plan</t>
  </si>
  <si>
    <t>Adultos-Razas medianas &amp; Grandes con tendencia al sobrepeso</t>
  </si>
  <si>
    <t>Harina de subproductos de pollo; Gluten de maíz; Hidrolizado a base de subproductos de pollo y/o cerdo; Maíz; Trigo; Fibra de soya; Arroz; Pulpa de remolacha; Carbonato y/o fosfato cálcico; Sal</t>
  </si>
  <si>
    <t>Harina de subproductos de pollo; Gluten de maíz; Hidrolizado a base de subproductos de pollo y/o cerdo</t>
  </si>
  <si>
    <t>Maíz; Trigo; Fibra de soya; Arroz; Pulpa de remolacha</t>
  </si>
  <si>
    <t>Carbonato y/o fosfato cálcico; Sal</t>
  </si>
  <si>
    <t>Adultos-Razas pequeñas</t>
  </si>
  <si>
    <t>Harina de soya; Harina de carne y hueso vacuno/Harina de subproductos de aves; Hidrolizado enzimático de hígado animal; Aceites y grasas de origen animal; Harina y subproductos de trigo; Maíz; Arroz y subproductos de arroz; Almidón de maíz; Azúcar; Glicerina</t>
  </si>
  <si>
    <t>Harina de soya; Harina de carne y hueso vacuno/Harina de subproductos de aves; Hidrolizado enzimático de hígado animal</t>
  </si>
  <si>
    <t>Aceites y grasas de origen animal</t>
  </si>
  <si>
    <t>Harina y subproductos de trigo; Maíz; Arroz y subproductos de arroz; Almidón de maíz</t>
  </si>
  <si>
    <t>Azúcar; Glicerina</t>
  </si>
  <si>
    <t>Adultos-Razas medianas &amp; Grandes</t>
  </si>
  <si>
    <t>Harina de soya; Harina de carne y hueso vacuno; Hidrolizado enzimático de hígado animal; Aceites y grasas de origen animal; Harina y subproductos de trigo; Maíz; Arroz y subproductos de arroz; Almidón de maíz; Azúcar; Glicerina</t>
  </si>
  <si>
    <t>Harina de soya; Harina de carne y hueso vacuno; Hidrolizado enzimático de hígado animal</t>
  </si>
  <si>
    <t>Pure Nature</t>
  </si>
  <si>
    <t>Agripac S.A.</t>
  </si>
  <si>
    <t>Pasta de soya; Harina de pollo; Hidrolizado de pollo; Aceite de pollo; Palmiste; Grasa bovina; Maíz; Arroz partido; Trigo; Afrechillo de trigo</t>
  </si>
  <si>
    <t>Pasta de soya; Harina de pollo; Hidrolizado de pollo</t>
  </si>
  <si>
    <t>Aceite de pollo; Palmiste; Grasa bovina</t>
  </si>
  <si>
    <t>Maíz; Arroz partido; Trigo; Afrechillo de trigo</t>
  </si>
  <si>
    <t>Dow Chow</t>
  </si>
  <si>
    <t>Adultos-Todos los tamaños control de peso</t>
  </si>
  <si>
    <t>Harinas proteicas de origen animal; Concentrado proteico de soya y/o maíz; Hidrolizado a base de menudencias de cerdo y/o pollo; Harina de pescado y/o harina de alga (Schizochytrium sp.); Grasa vacuna y/o porcina y/o avícola y/o de pescado y/o vegetal; Maíz y/o sorgo; Trigo; Arroz; Fibras de trigo y/o soya y/o maíz y/o yuca y/o caña de azúcar y/o celulosa; Sal</t>
  </si>
  <si>
    <t>Harinas proteicas de origen animal; Concentrado proteico de soya y/o maíz; Hidrolizado a base de menudencias de cerdo y/o pollo; Harina de pescado y/o harina de alga (Schizochytrium sp.)</t>
  </si>
  <si>
    <t>Grasa vacuna y/o porcina y/o avícola y/o de pescado y/o vegetal</t>
  </si>
  <si>
    <t>Maíz y/o sorgo; Trigo; Arroz; Fibras de trigo y/o soya y/o maíz y/o yuca y/o caña de azúcar y/o celulosa</t>
  </si>
  <si>
    <t>Adultos-Medianos y Grandes</t>
  </si>
  <si>
    <t>Harinas proteicas de origen animal; Harina de soya y/o concentrado proteico de soya y/o gluten de maíz; Hidrolizado a base de menudencias de cerdo y/o pollo; Harina de pescado y/o harina de alga (Schizochytrium sp.); Grasa vacuna y/o porcina y/o avícola y/o de pescado y/o vegetal; Maíz y/o sorgo; Arroz; Trigo; Salvado de trigo y/o fibra de soya y/o fibra de maíz y/o fibra de yuca; Sales minerales</t>
  </si>
  <si>
    <t>Harinas proteicas de origen animal; Harina de soya y/o concentrado proteico de soya y/o gluten de maíz; Hidrolizado a base de menudencias de cerdo y/o pollo; Harina de pescado y/o harina de alga (Schizochytrium sp.)</t>
  </si>
  <si>
    <t>Maíz y/o sorgo; Arroz; Trigo; Salvado de trigo y/o fibra de soya y/o fibra de maíz y/o fibra de yuca</t>
  </si>
  <si>
    <t>Sales minerales</t>
  </si>
  <si>
    <t>Harina de pollo y/o cerdo; Pasta de soya; Gluten de maíz; Hidrolizado líquido de vísceras de pollo; Arrocillo; Trigo; Maíz; Avena; Afrecho de trigo; Mix de frutas y vegetales (banana, manzana, calabaza, extractos de brócoli y arándanos)</t>
  </si>
  <si>
    <t>Harina de pollo y/o cerdo; Pasta de soya; Gluten de maíz; Hidrolizado líquido de vísceras de pollo</t>
  </si>
  <si>
    <t>Arrocillo; Trigo; Maíz; Avena; Afrecho de trigo; Mix de frutas y vegetales</t>
  </si>
  <si>
    <t>Gosbi Exclusive Fish Salmón</t>
  </si>
  <si>
    <t>Adultos de raza Mediana</t>
  </si>
  <si>
    <t>Salmón deshidratado; Pescado deshidratado; Aceite de salmón; Arroz; Lentejas; Patata; Guisantes; Garbanzos; Manzana deshidratada; Frutas y verduras mediterráneas</t>
  </si>
  <si>
    <t>Salmón deshidratado; Pescado deshidratado</t>
  </si>
  <si>
    <t>Arroz; Lentejas; Patata; Guisantes; Garbanzos; Manzana deshidratada; Frutas y verduras mediterráneas</t>
  </si>
  <si>
    <t>Theo</t>
  </si>
  <si>
    <t>TuTi</t>
  </si>
  <si>
    <t>Adultos Todas las razas</t>
  </si>
  <si>
    <t>Harina de pollo y/o cerdo; Pasta de soya; Soya en grano; Hidrolizado de pollo; Aceite de pollo; Palmiste; Maíz y/o subproductos; Trigo y/o subproductos; Arrocillo; Afrecho de trigo</t>
  </si>
  <si>
    <t>Harina de pollo y/o cerdo; Pasta de soya; Soya en grano; Hidrolizado de pollo</t>
  </si>
  <si>
    <t>Maíz y/o subproductos; Trigo y/o subproductos; Arrocillo; Afrecho de trigo</t>
  </si>
  <si>
    <t>Cachorros Todas las razas</t>
  </si>
  <si>
    <t>Harina de cerdo; Pasta de soya; Soya en grano; Hidrolizado de pollo; Aceite de pollo; Trigo y/o subproductos; Arrocillo; Afrecho de trigo; Maíz; Afrecho de malta</t>
  </si>
  <si>
    <t>Harina de cerdo; Pasta de soya; Soya en grano; Hidrolizado de pollo</t>
  </si>
  <si>
    <t>Trigo y/o subproductos; Arrocillo; Afrecho de trigo; Maíz; Afrecho de malta</t>
  </si>
  <si>
    <t>Chiki</t>
  </si>
  <si>
    <t>Adultos y Gatitos</t>
  </si>
  <si>
    <t>Harina de pollo; Pasta de soya; Gluten de maíz; Harina de pescado premium; Grasa animal y/o vegetal; Maíz; Trigo y/o fibra de trigo; Arroz partido y/o fibra de arroz; Levadura de cerveza y/o caña; Saborizante</t>
  </si>
  <si>
    <t>Harina de pollo; Pasta de soya; Gluten de maíz; Harina de pescado premium</t>
  </si>
  <si>
    <t>Maíz; Trigo y/o fibra de trigo; Arroz partido y/o fibra de arroz</t>
  </si>
  <si>
    <t>Levadura de cerveza y/o caña; Saborizante</t>
  </si>
  <si>
    <t>Whiskas</t>
  </si>
  <si>
    <t>Mars incorporated</t>
  </si>
  <si>
    <t>Harina de carne y hueso/subproductos de pollo/res/cerdo; Grasa de res y/o pollo y/o cerdo; Cereales y derivados (maíz, trigo, arroz, sorgo, cebada); Zanahoria deshidratada; Sabores naturales/artificiales; Colores naturales/artificiales; Sal yodada; Taurina; MOS</t>
  </si>
  <si>
    <t>Harina de carne y hueso/subproductos de pollo/res/cerdo</t>
  </si>
  <si>
    <t>Grasa de res y/o pollo y/o cerdo</t>
  </si>
  <si>
    <t>Cereales y derivados (maíz, trigo, arroz, sorgo, cebada); Zanahoria deshidratada</t>
  </si>
  <si>
    <t>Sabores naturales/artificiales; Colores naturales/artificiales; Sal yodada; Taurina; MOS</t>
  </si>
  <si>
    <t>Harina de carne y hueso/subproductos de pollo/res/cerdo; Grasa de res y/o pollo y/o cerdo; Cereales y derivados (maíz, trigo, arroz, sorgo, cebada); Zanahoria deshidratada; Chícharo deshidratado; Sabores naturales/artificiales; Sal yodada; Taurina; MOS</t>
  </si>
  <si>
    <t>Cereales y derivados (maíz, trigo, arroz, sorgo, cebada); Zanahoria deshidratada; Chícharo deshidratado</t>
  </si>
  <si>
    <t>Sabores naturales/artificiales; Sal yodada; Taurina; MOS</t>
  </si>
  <si>
    <t>Alimento para gatos Mi Comisariato</t>
  </si>
  <si>
    <t>Mi Comisariato</t>
  </si>
  <si>
    <t>Pasta de soya; Harina de pescado; Harina de carne y hueso; Aceite de pollo; Grasa de pollo; Grasa bovina; Maíz; Levadura de cerveza; Sal; Lactosa reducida</t>
  </si>
  <si>
    <t>Pasta de soya; Harina de pescado; Harina de carne y hueso</t>
  </si>
  <si>
    <t>Aceite de pollo; Grasa de pollo; Grasa bovina</t>
  </si>
  <si>
    <t>Maíz</t>
  </si>
  <si>
    <t>Levadura de cerveza; Sal; Lactosa reducida</t>
  </si>
  <si>
    <t>Michu</t>
  </si>
  <si>
    <t>Pasta de soya; Harina de pollo; Grano de soya; Hidrolizado de pollo y/o cerdo; Maíz; Arroz partido; Afrecho de cerveza; Cloruro de sodio; Ácido fosfórico</t>
  </si>
  <si>
    <t>Pasta de soya; Harina de pollo; Grano de soya; Hidrolizado de pollo y/o cerdo</t>
  </si>
  <si>
    <t>Maíz; Arroz partido; Afrecho de cerveza</t>
  </si>
  <si>
    <t>Cloruro de sodio; Ácido fosfórico</t>
  </si>
  <si>
    <t>Harinas proteicas de origen animal; Harina de pescado y/o harina de alga; Concentrado proteico de soya y/o maíz; Hidrolizado a base de hígados de pollo y/o cerdo; Queso rallado; Grasa vacuna y/o porcina y/o avícola y/o de pescado y/o vegetal; Maíz y/o arroz y/o trigo y/o sorgo; Fibras de soya y/o caña de azúcar y/o celulosa; Vegetales deshidratados (espinacas, zanahoria, tomate); Pirofosfato tetra sódico (TSPP)</t>
  </si>
  <si>
    <t>Harinas proteicas de origen animal; Harina de pescado y/o harina de alga; Concentrado proteico de soya y/o maíz; Hidrolizado a base de hígados de pollo y/o cerdo; Queso rallado</t>
  </si>
  <si>
    <t>Maíz y/o arroz y/o trigo y/o sorgo; Fibras de soya y/o caña de azúcar y/o celulosa; Vegetales deshidratados</t>
  </si>
  <si>
    <t>Pirofosfato tetra sódico (TSPP)</t>
  </si>
  <si>
    <t>Avant</t>
  </si>
  <si>
    <t>Cachorro-Razas miniaturas y pequeñas</t>
  </si>
  <si>
    <t>Carne de pollo y/o cerdo; Grasa animal y/o vegetal; Semillas de linaza; Maíz integral y derivados; Arroz y derivados; Trigo y derivados; Pulpa de remolacha; Celulosa; Saborizante; Levadura de caña y/o cebada</t>
  </si>
  <si>
    <t>Carne de pollo y/o cerdo</t>
  </si>
  <si>
    <t>Grasa animal y/o vegetal; Semillas de linaza</t>
  </si>
  <si>
    <t>Maíz integral y derivados; Arroz y derivados; Trigo y derivados; Pulpa de remolacha; Celulosa</t>
  </si>
  <si>
    <t>Saborizante; Levadura de caña y/o cebada</t>
  </si>
  <si>
    <t>Adultos-Razas miniaturas y pequeñas</t>
  </si>
  <si>
    <t>Taste Of The Wild Pacific Stream</t>
  </si>
  <si>
    <t>Diamond Pet Foods-VETERINO S.A.S.</t>
  </si>
  <si>
    <t>Adulto todas las razas</t>
  </si>
  <si>
    <t>Salmón; Harina de pescado oceánico; Guisantes; Lentejas; Salmón oceánico; Salmón ahumado; Aceite de canola; Batatas; Patatas; Pulpa de tomate</t>
  </si>
  <si>
    <t>Salmón; Harina de pescado oceánico; Guisantes; Lentejas; Salmón oceánico; Salmón ahumado</t>
  </si>
  <si>
    <t>Batatas; Patatas; Pulpa de tomate</t>
  </si>
  <si>
    <t>PRO PLAN REDUCED CALORIE</t>
  </si>
  <si>
    <t>Perros de razas medianas y grandes</t>
  </si>
  <si>
    <t>Harina de subproductos de pollo; Gluten de maíz; Hidrolizado a base de subproductos de pollo y/o cerdo; Maíz; Trigo; Fibra de soja; Arroz; Pulpa de remolacha; Carbonato y/o fosfato cálcico; Sal</t>
  </si>
  <si>
    <t>Maíz; Trigo; Fibra de soja; Arroz; Pulpa de remolacha</t>
  </si>
  <si>
    <t>Pro Plan Sensitive Skin</t>
  </si>
  <si>
    <t>Razas Pequeñas</t>
  </si>
  <si>
    <t>Carne de salmón congelada; Gluten de maíz; Harina de pescado; Hidrolizado a base de subproductos de pollo y/o cerdo; Aceite de pollo y/o grasa vacuna; Maíz; Arroz; Pulpa de remolacha; Carbonato cálcico y/o fosfato cálcico; Cloruro de potasio</t>
  </si>
  <si>
    <t>Carne de salmón congelada; Gluten de maíz; Harina de pescado; Hidrolizado a base de subproductos de pollo y/o cerdo</t>
  </si>
  <si>
    <t>Carbonato cálcico y/o fosfato cálcico; Cloruro de potasio</t>
  </si>
  <si>
    <t>Sensitive Adultos BEWI DOG</t>
  </si>
  <si>
    <t>Bewi Dog</t>
  </si>
  <si>
    <t>Perros Adultos Sensibles</t>
  </si>
  <si>
    <t>Proteínas de ave; Proteínas de cordero; Grasa de ave; Aceite vegetal (palma, coco); Maíz; Harinillas de maíz; Cebada; Arroz; Pulpa de remolacha seca; Levadura de cerveza seca</t>
  </si>
  <si>
    <t>Proteínas de ave; Proteínas de cordero</t>
  </si>
  <si>
    <t>Grasa de ave; Aceite vegetal (palma, coco)</t>
  </si>
  <si>
    <t>Maíz; Harinillas de maíz; Cebada; Arroz; Pulpa de remolacha seca</t>
  </si>
  <si>
    <t>Special Dog Excellence</t>
  </si>
  <si>
    <t>Pollo deshidratado; Proteínas animales hidrolizadas (hígado); Huevos enteros deshidratados; Grasa animal (aceite de pollo purificado); Semillas de lino; Arroz; Maíz; Trigo; Pulpa de cítricos deshidratada; Levadura de cerveza inactivada</t>
  </si>
  <si>
    <t>Pollo deshidratado; Proteínas animales hidrolizadas (hígado); Huevos enteros deshidratados</t>
  </si>
  <si>
    <t>Arquivet-SENSITIVE</t>
  </si>
  <si>
    <t>Natural pet food</t>
  </si>
  <si>
    <t>Perros Adultos Razas Medianas</t>
  </si>
  <si>
    <t>Carne fresca de salmón; Harina de salmón; Hidrolizado de salmón; Aceite de pollo; Arroz; Maíz; Patata; Pulpa de remolacha; Achicoria (FOS); Levaduras</t>
  </si>
  <si>
    <t>Carne fresca de salmón; Harina de salmón; Hidrolizado de salmón</t>
  </si>
  <si>
    <t>Arroz; Maíz; Patata; Pulpa de remolacha; Achicoria (FOS)</t>
  </si>
  <si>
    <t>Levaduras</t>
  </si>
  <si>
    <t>Perros Adultos de razas medianas y grandes</t>
  </si>
  <si>
    <t>Carne de salmón congelada; Gluten de maíz; Harina de pescado; Hidrolizado a base de subproductos de pollo y/o cerdo; Aceite de pollo y/o grasa vacuna; Maíz; Arroz; Pulpa de remolacha; Carbonato y/o fosfato cálcico; Sal</t>
  </si>
  <si>
    <t>EUKANUBA PUPPY LARGE BREED</t>
  </si>
  <si>
    <t>EUKANUBA</t>
  </si>
  <si>
    <t>Cachorro de razas grandes o perros mestizos que en su etapa adulta pesan más de 25 kg (razas grandes) o más de 50 kg (razas gigantes).</t>
  </si>
  <si>
    <t>Harina de subproductos de pollo; Producto de huevo seco; Grasa de pollo; Aceite de pescado; Harina de maíz; Trigo integral molido; Sorgo integral molido; Arroz de cervecería; Pulpa de remolacha seca; Sabor natural a cerdo y/o pollo (hidrolizado de subproductos de cerdo y/o pollo)</t>
  </si>
  <si>
    <t>Sabor natural a cerdo y/o pollo (hidrolizado de subproductos de cerdo y/o pollo)</t>
  </si>
  <si>
    <t>Cachorros entre 1 y 12 meses de edad, de razas medianas como Bulldog Francés, Beagle, Bretón, Cocker, Boxer, Schnauzer Standard y otras razas o perros mestizos que en su etapa adulta pesan entre 10 y 25 kg.</t>
  </si>
  <si>
    <t>Harina de subproductos de pollo; Producto de huevo seco; Grasa de pollo; Aceite de pescado; Harina de maíz; Trigo integral molido; Arroz de cervecería; Pulpa de remolacha seca; Fosfato dicálcico; Sabor natural a cerdo y/o pollo</t>
  </si>
  <si>
    <t>Harina de maíz; Trigo integral molido; Arroz de cervecería; Pulpa de remolacha seca</t>
  </si>
  <si>
    <t>Fosfato dicálcico; Sabor natural a cerdo y/o pollo (hidrolizado de hígado de cerdo y/o pollo)</t>
  </si>
  <si>
    <t>Vitalcan Balanced Equilibrio Saludable</t>
  </si>
  <si>
    <t>Gatos Adultos</t>
  </si>
  <si>
    <t>Harina de pollo; Gluten de maíz; Harina de soja micronizada; Hidrolizado proteico de pollo; Aceite de pollo; Aceite de pescado; Arroz; Maíz; Trigo; Pulpa de remolacha</t>
  </si>
  <si>
    <t>Harina de pollo; Gluten de maíz; Harina de soja micronizada; Hidrolizado proteico de pollo</t>
  </si>
  <si>
    <t>Arroz; Maíz; Trigo; Pulpa de remolacha (fuente de FOS)</t>
  </si>
  <si>
    <t>Gatos adultos de 1 a 7 años</t>
  </si>
  <si>
    <t>Proteínas de ave deshidratadas; Proteínas de cerdo deshidratadas; Hidrolizado de proteínas animales; Gluten de maíz; Grasas animales; Arroz; Trigo; Maíz; Fibras vegetales; Harina de trigo</t>
  </si>
  <si>
    <t>Proteínas de ave deshidratadas; Proteínas de cerdo deshidratadas; Hidrolizado de proteínas animales; Gluten de maíz</t>
  </si>
  <si>
    <t>Arroz; Trigo; Maíz; Fibras vegetales; Harina de trigo</t>
  </si>
  <si>
    <t>Gatos Esterilizados</t>
  </si>
  <si>
    <t>Proteínas de ave deshidratadas; Aislado de proteínas vegetales; Hidrolizado de proteínas animales; Gluten de maíz; Grasas animales; Maíz; Fibras vegetales; Arroz; Trigo; Pulpa de remolacha</t>
  </si>
  <si>
    <t>Proteínas de ave deshidratadas; Aislado de proteínas vegetales; Hidrolizado de proteínas animales; Gluten de maíz</t>
  </si>
  <si>
    <t>Maíz; Fibras vegetales; Arroz; Trigo; Pulpa de remolacha</t>
  </si>
  <si>
    <t>Taste of the wild</t>
  </si>
  <si>
    <t>Trucha; Harina de pescado oceánico; Proteína de guisantes; Proteína de patata; Salmón ahumado; Aceite de canola; Boniatos; Patata; Cloruro de potasio; Minerales</t>
  </si>
  <si>
    <t>Trucha; Harina de pescado oceánico; Proteína de guisantes; Proteína de patata; Salmón ahumado</t>
  </si>
  <si>
    <t>Boniatos; Patata</t>
  </si>
  <si>
    <t>Cloruro de potasio; Minerales</t>
  </si>
  <si>
    <t>Harina de pollo; Guisantes; Proteína de guisantes; Proteína de patata; Ciervo asado; Salmón ahumado; Harina de pescado oceánico; Grasa de pollo; Boniatos; Cloruro de potasio</t>
  </si>
  <si>
    <t>Harina de pollo; Guisantes; Proteína de guisantes; Proteína de patata; Ciervo asado; Salmón ahumado; Harina de pescado oceánico</t>
  </si>
  <si>
    <t>Boniatos</t>
  </si>
  <si>
    <t>Ownat Classic+A46:L111</t>
  </si>
  <si>
    <t>Cotecnica- Mecpets</t>
  </si>
  <si>
    <t>Gatos Esterilizados y Control Peso</t>
  </si>
  <si>
    <t>Carnes deshidratadas; Pollo fresco; Guisantes enteros; Proteína de maíz; Hidrolizado de salmón; Grasa de pollo; Cebada integral; Maíz integral; Trigo integral; Arroz integral; Levadura de cerveza</t>
  </si>
  <si>
    <t>Carnes deshidratadas; Pollo fresco; Guisantes enteros; Proteína de maíz; Hidrolizado de salmón</t>
  </si>
  <si>
    <t>Cebada integral; Maíz integral; Trigo integral; Arroz integral</t>
  </si>
  <si>
    <t>Ownat Classic Kitten</t>
  </si>
  <si>
    <t>Gatitos de 1 a 12 meses</t>
  </si>
  <si>
    <t>Carnes deshidratadas; Pollo fresco; Proteína de maíz; Guisantes enteros; Pescado deshidratado; Proteína hidrolizada de pollo; Grasa de pollo; Arroz integral; Cebada integral; Maíz integral; Levadura de cerveza</t>
  </si>
  <si>
    <t>Carnes deshidratadas; Pollo fresco; Proteína de maíz; Guisantes enteros; Pescado deshidratado; Proteína hidrolizada de pollo</t>
  </si>
  <si>
    <t>Arroz integral; Cebada integral; Maíz integral</t>
  </si>
  <si>
    <t>Gatos adultos</t>
  </si>
  <si>
    <t>Harina de salmón; Harina de pollo; Harina de arveja; Huevo en polvo; Harina de calamar; Harina de pescado; Aceite de pollo; Almidón de yuca; Pulpa de remolacha; Cloruro de potasio</t>
  </si>
  <si>
    <t>Gatos Urinary</t>
  </si>
  <si>
    <t>Harina de pollo; Harina de salmón; Harina de pescado; Plasma bovino; Harina de calamar; Hidrolizado de pollo y cerdo; Extracto de proteína de coproductos de caña de azúcar; Aceite de pollo; Aceite de pescado; Almidón de yuca</t>
  </si>
  <si>
    <t>Harina de pollo; Harina de salmón; Harina de pescado; Plasma bovino; Harina de calamar; Hidrolizado de pollo y cerdo; Extracto de proteína de coproductos de caña de azúcar</t>
  </si>
  <si>
    <t>Earthborn</t>
  </si>
  <si>
    <t>Harina de pollo; Arvejas; Almidón de arveja; Huevo deshidratado; Semilla de linaza; Batata (camote); Tapioca; Fibra de arveja; Zapallo; Levadura deshidratada</t>
  </si>
  <si>
    <t>Harina de pollo; Arvejas; Almidón de arveja; Huevo deshidratado</t>
  </si>
  <si>
    <t>Semilla de linaza</t>
  </si>
  <si>
    <t>Batata (camote); Tapioca; Fibra de arveja; Zapallo</t>
  </si>
  <si>
    <t>Levadura deshidratada</t>
  </si>
  <si>
    <t>Ownat Grain Free Junior</t>
  </si>
  <si>
    <t>Cachorros (de 2-3 meses hasta el final de la fase de crecimiento) con sensibilidad o intolerancia relacionada con el pollo</t>
  </si>
  <si>
    <t>Cordero fresco; Carne de cerdo deshidratada; Guisantes enteros; Cordero deshidratado; Pescado deshidratado; Grasa animal; Raíces de yuca; Patata deshidratada; Vainas de algarroba; Levadura de cerveza</t>
  </si>
  <si>
    <t>Cordero fresco; Carne de cerdo deshidratada; Guisantes enteros; Cordero deshidratado; Pescado deshidratado</t>
  </si>
  <si>
    <t>Raíces de yuca; Patata deshidratada; Vainas de algarroba</t>
  </si>
  <si>
    <t>Ownat Grain Free</t>
  </si>
  <si>
    <t>Perros de todas las razas con sensibilidades digestivas</t>
  </si>
  <si>
    <t>Pescado azul fresco; Pollo deshidratado; Hidrolizado de salmón; Guisantes enteros; Salmón deshidratado; Proteína hidrolizada de pollo; Grasa avícola; Raíces de mandioca; Vaina de algarroba; Patata deshidratada</t>
  </si>
  <si>
    <t>Pescado azul fresco; Pollo deshidratado; Hidrolizado de salmón; Guisantes enteros; Salmón deshidratado; Proteína hidrolizada de pollo</t>
  </si>
  <si>
    <t>Grasa avícola</t>
  </si>
  <si>
    <t>Raíces de mandioca; Vaina de algarroba; Patata deshidratada</t>
  </si>
  <si>
    <t>Nutrique Senior 6+ Large</t>
  </si>
  <si>
    <t>Nutrique</t>
  </si>
  <si>
    <t>Perros Razas Grandes</t>
  </si>
  <si>
    <t>Harina de pavo; Arvejas secas; Huevo en polvo; Hidrolizado de hígado porcino deshidratado; Aceite de pollo; Semillas de chía; Arroz; Arroz integral; Cebada; Pulpa de remolacha</t>
  </si>
  <si>
    <t>Harina de pavo; Arvejas secas; Huevo en polvo; Hidrolizado de hígado porcino deshidratado</t>
  </si>
  <si>
    <t>Aceite de pollo; Semillas de chía</t>
  </si>
  <si>
    <t>Arroz; Arroz integral; Cebada; Pulpa de remolacha</t>
  </si>
  <si>
    <t>Royal Canin SHIH TZU puppy</t>
  </si>
  <si>
    <t>Cachorro SHIH TZU Hata los 10 meses de edad</t>
  </si>
  <si>
    <t>Proteínas de ave deshidratadas; Aislado de proteínas vegetales; Hidrolizado de proteínas animales; Grasas animales; Aceite de pescado; Aceite de soja; Arroz; Maíz; Pulpa de remolacha; Minerales</t>
  </si>
  <si>
    <t>Proteínas de ave deshidratadas; Aislado de proteínas vegetales; Hidrolizado de proteínas animales</t>
  </si>
  <si>
    <t>Royal Canin Medium Adult 7+</t>
  </si>
  <si>
    <t>Perros mayores de 7 años</t>
  </si>
  <si>
    <t>Proteínas de ave deshidratadas; Gluten de trigo; Proteínas animales hidrolizadas; Grasas animales; Harina de trigo; Harina de maíz; Maíz; Arroz; Trigo; Pulpa de remolacha</t>
  </si>
  <si>
    <t>Proteínas de ave deshidratadas; Gluten de trigo; Proteínas animales hidrolizadas</t>
  </si>
  <si>
    <t>Harina de trigo; Harina de maíz; Maíz; Arroz; Trigo; Pulpa de remolacha</t>
  </si>
  <si>
    <t>Royal Canin DERMACOMFORT Medium</t>
  </si>
  <si>
    <t>Para perros Mini adulto</t>
  </si>
  <si>
    <t>Aislado de proteínas vegetales; Gluten de maíz; Hidrolizado de proteínas animales; Grasas animales; Aceite de soja; Arroz; Trigo; Avena descascarillada; Maíz; Minerales</t>
  </si>
  <si>
    <t>Aislado de proteínas vegetales; Gluten de maíz; Hidrolizado de proteínas animales</t>
  </si>
  <si>
    <t>Grasas animales; Aceite de soja</t>
  </si>
  <si>
    <t>Arroz; Trigo; Avena descascarillada; Maíz</t>
  </si>
  <si>
    <t>Royal Canin Adulto Chihuahua</t>
  </si>
  <si>
    <t>Adulto Chihuahua</t>
  </si>
  <si>
    <t>Proteína de carne de ave deshidratada; Gluten de trigo; Proteína animal hidrolizada; Grasas animales; Aceite de pescado; Aceite de soja; Arroz; Maíz; Pulpa de remolacha; Sales minerales</t>
  </si>
  <si>
    <t>Proteína de carne de ave deshidratada; Gluten de trigo; Proteína animal hidrolizada</t>
  </si>
  <si>
    <t>PremieR Nutrición Clínica</t>
  </si>
  <si>
    <t>PremieRPet</t>
  </si>
  <si>
    <t>Perros Pequeños Renal</t>
  </si>
  <si>
    <t>Harina de vísceras de pollo; Huevo en polvo; Proteína aislada de soja; Grasa de cerdo; Grasa de pollo; Aceite de pescado; Maíz; Arroz; Pulpa de remolacha; Goma acacia</t>
  </si>
  <si>
    <t>Harina de vísceras de pollo; Huevo en polvo; Proteína aislada de soja</t>
  </si>
  <si>
    <t>Grasa de cerdo; Grasa de pollo; Aceite de pescado</t>
  </si>
  <si>
    <t>Maíz; Arroz; Pulpa de remolacha; Goma acacia</t>
  </si>
  <si>
    <t>Nutrición Clínica Perros Pequeños Hipoalergénico</t>
  </si>
  <si>
    <t>Proteína hidrolizada de pollo; Grasa de cerdo; Grasa de pollo; Aceite de pescado; Harina de yuca; Pulpa de remolacha; Cloruro de sodio; Cloruro de potasio; Fosfato dicálcico; Levadura de caña de azúcar seca autolisada</t>
  </si>
  <si>
    <t>Proteína hidrolizada de pollo</t>
  </si>
  <si>
    <t>Harina de yuca; Pulpa de remolacha</t>
  </si>
  <si>
    <t>Cloruro de sodio; Cloruro de potasio; Fosfato dicálcico; Levadura de caña de azúcar seca autolisada</t>
  </si>
  <si>
    <t>Bosch Mini Adult</t>
  </si>
  <si>
    <t>Adultos de razas pequeñas (máx. 15 kg)</t>
  </si>
  <si>
    <t>Carne fresca de ave; Harina de carne de cordero; Harina de carne de ave; Gluten de maíz; Huevo entero deshidratado; Grasa animal; Arroz; Maíz; Mijo; Pulpa de remolacha</t>
  </si>
  <si>
    <t>Carne fresca de ave; Harina de carne de cordero; Harina de carne de ave; Gluten de maíz; Huevo entero deshidratado</t>
  </si>
  <si>
    <t>Arroz; Maíz; Mijo; Pulpa de remolacha</t>
  </si>
  <si>
    <t>Bosch Mini Junior</t>
  </si>
  <si>
    <t>Cachorro Razas pequeñas (hasta 15 kg)</t>
  </si>
  <si>
    <t>Ave fresca; Proteínas de aves de corral secas; Hidrolizado de proteínas; Harina de pescado; Grasa de aves de corral; Semillas de linaza; Maíz; Arroz; Mijo; Pulpa de remolacha</t>
  </si>
  <si>
    <t>Ave fresca; Proteínas de aves de corral secas; Hidrolizado de proteínas; Harina de pescado</t>
  </si>
  <si>
    <t>Grasa de aves de corral; Semillas de linaza</t>
  </si>
  <si>
    <t>Maíz; Arroz; Mijo; Pulpa de remolacha</t>
  </si>
  <si>
    <t>Ultimates – Bayside Select</t>
  </si>
  <si>
    <t>PRO PAC</t>
  </si>
  <si>
    <t>Todas las etapas de la vida, incluyendo el crecimiento de perros de gran tamaño (70 lb/31,8 kg o más como adulto</t>
  </si>
  <si>
    <t>Harina de pescado blanco; Guisantes; Almidón de guisantes; Garbanzos; Aceite de canola; Linaza; Patatas; Batata; Fibra de guisantes; Sabor natural</t>
  </si>
  <si>
    <t>Harina de pescado blanco; Guisantes; Almidón de guisantes; Garbanzos</t>
  </si>
  <si>
    <t>Aceite de canola; Linaza</t>
  </si>
  <si>
    <t>Patatas; Batata; Fibra de guisantes</t>
  </si>
  <si>
    <t>Ultimates - Meadow Prime</t>
  </si>
  <si>
    <t>Harina de cordero; Guisantes; Garbanzos; Almidón de guisantes; Proteína de guisantes; Aceite de canola; Patatas; Batata; Fibra de guisantes; Sabor natural</t>
  </si>
  <si>
    <t>Harina de cordero; Guisantes; Garbanzos; Almidón de guisantes; Proteína de guisantes</t>
  </si>
  <si>
    <t>MV Dieta prescripta
 RENAL</t>
  </si>
  <si>
    <t>Holliday</t>
  </si>
  <si>
    <t>Adultos y gerontes todas las razas</t>
  </si>
  <si>
    <t>Harina de subproductos de pollo; Gluten de maíz; Huevo en polvo; Hidrolizado proteico de pollo; Aceite de pollo; Aceite de pescado; Arroz; Pulpa de remolacha; Cáscara de soja; Levadura de cerveza</t>
  </si>
  <si>
    <t>PremieR® Nutrición Clínica</t>
  </si>
  <si>
    <t>Gatos Adultos Urinario Estruvita</t>
  </si>
  <si>
    <t>Harina de vísceras de pollo; Harina de chicharrón de cerdo; Gluten de maíz; Plasma de cerdo en polvo; Proteína aislada de soja; Maíz; Trigo; Celulosa; Arroz; Pulpa de remolacha</t>
  </si>
  <si>
    <t>Harina de vísceras de pollo; Harina de chicharrón de cerdo; Gluten de maíz; Plasma de cerdo en polvo; Proteína aislada de soja</t>
  </si>
  <si>
    <t>Maíz; Trigo; Celulosa; Arroz; Pulpa de remolacha</t>
  </si>
  <si>
    <t>Nutrique Healthy Maintenance</t>
  </si>
  <si>
    <t>Gatos Adulto en peso ideal</t>
  </si>
  <si>
    <t>Harina de pavo; Hidrolizado de hígado porcino deshidratado; Arvejas secas; Aceite de pollo; Arroz; Cebada; Pulpa de remolacha; Avena; Celulosa en polvo; Coco deshidratado</t>
  </si>
  <si>
    <t>Sanabelle</t>
  </si>
  <si>
    <t>Bosch Tiernahrung GmbH</t>
  </si>
  <si>
    <t>Carne de ave fresca; Proteína de ave deshidratada; Trucha fresca; Hígado fresco; Harina de hígado; Hidrolizado de proteínas; Grasa animal; Arroz; Harina de arroz; Pulpa de remolacha deshidratada</t>
  </si>
  <si>
    <t>Carne de ave fresca; Proteína de ave deshidratada; Trucha fresca; Hígado fresco; Harina de hígado; Hidrolizado de proteínas</t>
  </si>
  <si>
    <t>Arroz; Harina de arroz; Pulpa de remolacha deshidratada</t>
  </si>
  <si>
    <t>Royal Canin Kitten Persian</t>
  </si>
  <si>
    <t>Gatitos de raza Persa (hasta los 12 meses de edad).</t>
  </si>
  <si>
    <t>Proteínas de ave de corral deshidratadas; Gluten de trigo; Proteínas animales hidrolizadas; Grasas animales; Arroz; Maíz; Fibras vegetales; Pulpa de remolacha; Productos de levaduras; Sustancias minerales</t>
  </si>
  <si>
    <t>Proteínas de ave de corral deshidratadas; Gluten de trigo; Proteínas animales hidrolizadas</t>
  </si>
  <si>
    <t>Productos de levaduras; Sustancias minerales</t>
  </si>
  <si>
    <t>Royal Canin Urinary S/O</t>
  </si>
  <si>
    <t>Alimento dietético completo para gatos</t>
  </si>
  <si>
    <t>Gluten de trigo; Proteínas de ave deshidratadas; Hidrolizado de proteínas animales; Gluten de maíz; Grasas animales; Aceite de pescado; Arroz; Harina de maíz; Fibras vegetales; Minerales</t>
  </si>
  <si>
    <t>Gluten de trigo; Proteínas de ave deshidratadas; Hidrolizado de proteínas animales; Gluten de maíz</t>
  </si>
  <si>
    <t>Arroz; Harina de maíz; Fibras vegetales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</si>
</sst>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604B-470B-423A-8831-67E616DB60F6}">
  <dimension ref="A1:V61"/>
  <sheetViews>
    <sheetView tabSelected="1" topLeftCell="B1" workbookViewId="0">
      <selection activeCell="P2" sqref="P2"/>
    </sheetView>
  </sheetViews>
  <sheetFormatPr baseColWidth="10" defaultRowHeight="15.05" x14ac:dyDescent="0.3"/>
  <cols>
    <col min="2" max="2" width="31.88671875" customWidth="1"/>
    <col min="6" max="16" width="11.5546875" style="1"/>
    <col min="18" max="22" width="58.77734375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2" t="s">
        <v>46</v>
      </c>
      <c r="S1" t="s">
        <v>16</v>
      </c>
      <c r="T1" t="s">
        <v>17</v>
      </c>
      <c r="U1" t="s">
        <v>18</v>
      </c>
      <c r="V1" t="s">
        <v>19</v>
      </c>
    </row>
    <row r="2" spans="1:22" ht="45.2" x14ac:dyDescent="0.3">
      <c r="A2">
        <v>1</v>
      </c>
      <c r="B2" t="s">
        <v>28</v>
      </c>
      <c r="C2" t="s">
        <v>29</v>
      </c>
      <c r="D2" t="s">
        <v>80</v>
      </c>
      <c r="E2" s="3" t="s">
        <v>81</v>
      </c>
      <c r="F2">
        <v>26</v>
      </c>
      <c r="G2">
        <v>10</v>
      </c>
      <c r="H2">
        <v>8</v>
      </c>
      <c r="I2">
        <v>10</v>
      </c>
      <c r="J2">
        <v>4</v>
      </c>
      <c r="K2">
        <f>100-(F2+G2+H2+I2+J2)</f>
        <v>42</v>
      </c>
      <c r="L2" s="1">
        <f>(100*J2)/(100-I2)</f>
        <v>4.4444444444444446</v>
      </c>
      <c r="M2">
        <f>(5.7*F2)+(9.4*G2)+(4.1*(K2+J2))</f>
        <v>430.8</v>
      </c>
      <c r="N2" s="4">
        <f>((91.2-(1.43*L2))*M2)/100</f>
        <v>365.50986666666671</v>
      </c>
      <c r="O2" s="4">
        <f>N2-(1.04*F2)</f>
        <v>338.46986666666669</v>
      </c>
      <c r="P2" s="4"/>
      <c r="Q2" s="4">
        <v>1</v>
      </c>
      <c r="R2" s="5" t="s">
        <v>82</v>
      </c>
      <c r="S2" s="5" t="s">
        <v>83</v>
      </c>
      <c r="T2" s="5" t="s">
        <v>54</v>
      </c>
      <c r="U2" s="5" t="s">
        <v>84</v>
      </c>
      <c r="V2" s="5" t="s">
        <v>51</v>
      </c>
    </row>
    <row r="3" spans="1:22" ht="60.25" x14ac:dyDescent="0.3">
      <c r="A3">
        <v>2</v>
      </c>
      <c r="B3" t="s">
        <v>28</v>
      </c>
      <c r="C3" t="s">
        <v>29</v>
      </c>
      <c r="D3" t="s">
        <v>80</v>
      </c>
      <c r="E3" s="3" t="s">
        <v>85</v>
      </c>
      <c r="F3">
        <v>26</v>
      </c>
      <c r="G3">
        <v>10</v>
      </c>
      <c r="H3">
        <v>8</v>
      </c>
      <c r="I3">
        <v>10</v>
      </c>
      <c r="J3">
        <v>4</v>
      </c>
      <c r="K3">
        <f t="shared" ref="K3:K61" si="0">100-(F3+G3+H3+I3+J3)</f>
        <v>42</v>
      </c>
      <c r="L3" s="1">
        <f t="shared" ref="L3:L61" si="1">(100*J3)/(100-I3)</f>
        <v>4.4444444444444446</v>
      </c>
      <c r="M3">
        <f t="shared" ref="M3:M61" si="2">(5.7*F3)+(9.4*G3)+(4.1*(K3+J3))</f>
        <v>430.8</v>
      </c>
      <c r="N3" s="4">
        <f t="shared" ref="N3:N61" si="3">((91.2-(1.43*L3))*M3)/100</f>
        <v>365.50986666666671</v>
      </c>
      <c r="O3" s="4">
        <f t="shared" ref="O3:O61" si="4">N3-(1.04*F3)</f>
        <v>338.46986666666669</v>
      </c>
      <c r="P3" s="4"/>
      <c r="Q3" s="4">
        <v>2</v>
      </c>
      <c r="R3" s="5" t="s">
        <v>82</v>
      </c>
      <c r="S3" s="5" t="s">
        <v>83</v>
      </c>
      <c r="T3" s="5" t="s">
        <v>54</v>
      </c>
      <c r="U3" s="5" t="s">
        <v>84</v>
      </c>
      <c r="V3" s="5" t="s">
        <v>51</v>
      </c>
    </row>
    <row r="4" spans="1:22" ht="45.2" x14ac:dyDescent="0.3">
      <c r="A4">
        <v>3</v>
      </c>
      <c r="B4" t="s">
        <v>28</v>
      </c>
      <c r="C4" t="s">
        <v>29</v>
      </c>
      <c r="D4" t="s">
        <v>80</v>
      </c>
      <c r="E4" s="3" t="s">
        <v>86</v>
      </c>
      <c r="F4">
        <v>26</v>
      </c>
      <c r="G4">
        <v>10</v>
      </c>
      <c r="H4">
        <v>8</v>
      </c>
      <c r="I4">
        <v>10</v>
      </c>
      <c r="J4">
        <v>4</v>
      </c>
      <c r="K4">
        <f t="shared" si="0"/>
        <v>42</v>
      </c>
      <c r="L4" s="1">
        <f t="shared" si="1"/>
        <v>4.4444444444444446</v>
      </c>
      <c r="M4">
        <f t="shared" si="2"/>
        <v>430.8</v>
      </c>
      <c r="N4" s="4">
        <f t="shared" si="3"/>
        <v>365.50986666666671</v>
      </c>
      <c r="O4" s="4">
        <f t="shared" si="4"/>
        <v>338.46986666666669</v>
      </c>
      <c r="P4" s="4"/>
      <c r="Q4" s="4">
        <v>3</v>
      </c>
      <c r="R4" s="5" t="s">
        <v>87</v>
      </c>
      <c r="S4" s="5" t="s">
        <v>88</v>
      </c>
      <c r="T4" s="5" t="s">
        <v>54</v>
      </c>
      <c r="U4" s="5" t="s">
        <v>69</v>
      </c>
      <c r="V4" s="5" t="s">
        <v>70</v>
      </c>
    </row>
    <row r="5" spans="1:22" ht="60.25" x14ac:dyDescent="0.3">
      <c r="A5">
        <v>4</v>
      </c>
      <c r="B5" t="s">
        <v>89</v>
      </c>
      <c r="C5" t="s">
        <v>90</v>
      </c>
      <c r="D5" t="s">
        <v>80</v>
      </c>
      <c r="E5" s="3" t="s">
        <v>91</v>
      </c>
      <c r="F5">
        <v>26</v>
      </c>
      <c r="G5">
        <v>10</v>
      </c>
      <c r="H5">
        <v>8</v>
      </c>
      <c r="I5">
        <v>10</v>
      </c>
      <c r="J5">
        <v>4</v>
      </c>
      <c r="K5">
        <f t="shared" si="0"/>
        <v>42</v>
      </c>
      <c r="L5" s="1">
        <f t="shared" si="1"/>
        <v>4.4444444444444446</v>
      </c>
      <c r="M5">
        <f t="shared" si="2"/>
        <v>430.8</v>
      </c>
      <c r="N5" s="4">
        <f t="shared" si="3"/>
        <v>365.50986666666671</v>
      </c>
      <c r="O5" s="4">
        <f t="shared" si="4"/>
        <v>338.46986666666669</v>
      </c>
      <c r="P5" s="4"/>
      <c r="Q5" s="4">
        <v>4</v>
      </c>
      <c r="R5" s="5" t="s">
        <v>92</v>
      </c>
      <c r="S5" s="5" t="s">
        <v>93</v>
      </c>
      <c r="T5" s="5" t="s">
        <v>94</v>
      </c>
      <c r="U5" s="5" t="s">
        <v>95</v>
      </c>
      <c r="V5" s="5" t="s">
        <v>51</v>
      </c>
    </row>
    <row r="6" spans="1:22" ht="90.35" x14ac:dyDescent="0.3">
      <c r="A6">
        <v>5</v>
      </c>
      <c r="B6" t="s">
        <v>96</v>
      </c>
      <c r="C6" t="s">
        <v>97</v>
      </c>
      <c r="D6" t="s">
        <v>80</v>
      </c>
      <c r="E6" s="3" t="s">
        <v>98</v>
      </c>
      <c r="F6">
        <v>26</v>
      </c>
      <c r="G6">
        <v>10</v>
      </c>
      <c r="H6">
        <v>8</v>
      </c>
      <c r="I6">
        <v>10</v>
      </c>
      <c r="J6">
        <v>4</v>
      </c>
      <c r="K6">
        <f t="shared" si="0"/>
        <v>42</v>
      </c>
      <c r="L6" s="1">
        <f t="shared" si="1"/>
        <v>4.4444444444444446</v>
      </c>
      <c r="M6">
        <f t="shared" si="2"/>
        <v>430.8</v>
      </c>
      <c r="N6" s="4">
        <f t="shared" si="3"/>
        <v>365.50986666666671</v>
      </c>
      <c r="O6" s="4">
        <f t="shared" si="4"/>
        <v>338.46986666666669</v>
      </c>
      <c r="P6" s="4"/>
      <c r="Q6" s="4">
        <v>5</v>
      </c>
      <c r="R6" s="5" t="s">
        <v>99</v>
      </c>
      <c r="S6" s="5" t="s">
        <v>100</v>
      </c>
      <c r="T6" s="5" t="s">
        <v>21</v>
      </c>
      <c r="U6" s="5" t="s">
        <v>101</v>
      </c>
      <c r="V6" s="5" t="s">
        <v>102</v>
      </c>
    </row>
    <row r="7" spans="1:22" ht="60.25" x14ac:dyDescent="0.3">
      <c r="A7">
        <v>6</v>
      </c>
      <c r="B7" t="s">
        <v>42</v>
      </c>
      <c r="C7" t="s">
        <v>43</v>
      </c>
      <c r="D7" t="s">
        <v>80</v>
      </c>
      <c r="E7" s="3" t="s">
        <v>103</v>
      </c>
      <c r="F7">
        <v>26</v>
      </c>
      <c r="G7">
        <v>10</v>
      </c>
      <c r="H7">
        <v>8</v>
      </c>
      <c r="I7">
        <v>10</v>
      </c>
      <c r="J7">
        <v>4</v>
      </c>
      <c r="K7">
        <f t="shared" si="0"/>
        <v>42</v>
      </c>
      <c r="L7" s="1">
        <f t="shared" si="1"/>
        <v>4.4444444444444446</v>
      </c>
      <c r="M7">
        <f t="shared" si="2"/>
        <v>430.8</v>
      </c>
      <c r="N7" s="4">
        <f t="shared" si="3"/>
        <v>365.50986666666671</v>
      </c>
      <c r="O7" s="4">
        <f t="shared" si="4"/>
        <v>338.46986666666669</v>
      </c>
      <c r="P7" s="4"/>
      <c r="Q7" s="4">
        <v>6</v>
      </c>
      <c r="R7" s="5" t="s">
        <v>104</v>
      </c>
      <c r="S7" s="5" t="s">
        <v>105</v>
      </c>
      <c r="T7" s="5" t="s">
        <v>106</v>
      </c>
      <c r="U7" s="5" t="s">
        <v>107</v>
      </c>
      <c r="V7" s="5" t="s">
        <v>108</v>
      </c>
    </row>
    <row r="8" spans="1:22" ht="60.25" x14ac:dyDescent="0.3">
      <c r="A8">
        <v>7</v>
      </c>
      <c r="B8" t="s">
        <v>42</v>
      </c>
      <c r="C8" t="s">
        <v>43</v>
      </c>
      <c r="D8" t="s">
        <v>80</v>
      </c>
      <c r="E8" s="3" t="s">
        <v>109</v>
      </c>
      <c r="F8">
        <v>26</v>
      </c>
      <c r="G8">
        <v>10</v>
      </c>
      <c r="H8">
        <v>8</v>
      </c>
      <c r="I8">
        <v>10</v>
      </c>
      <c r="J8">
        <v>4</v>
      </c>
      <c r="K8">
        <f t="shared" si="0"/>
        <v>42</v>
      </c>
      <c r="L8" s="1">
        <f t="shared" si="1"/>
        <v>4.4444444444444446</v>
      </c>
      <c r="M8">
        <f t="shared" si="2"/>
        <v>430.8</v>
      </c>
      <c r="N8" s="4">
        <f t="shared" si="3"/>
        <v>365.50986666666671</v>
      </c>
      <c r="O8" s="4">
        <f t="shared" si="4"/>
        <v>338.46986666666669</v>
      </c>
      <c r="P8" s="4"/>
      <c r="Q8" s="4">
        <v>7</v>
      </c>
      <c r="R8" s="5" t="s">
        <v>110</v>
      </c>
      <c r="S8" s="5" t="s">
        <v>111</v>
      </c>
      <c r="T8" s="5" t="s">
        <v>106</v>
      </c>
      <c r="U8" s="5" t="s">
        <v>107</v>
      </c>
      <c r="V8" s="5" t="s">
        <v>108</v>
      </c>
    </row>
    <row r="9" spans="1:22" ht="60.25" x14ac:dyDescent="0.3">
      <c r="A9">
        <v>8</v>
      </c>
      <c r="B9" t="s">
        <v>112</v>
      </c>
      <c r="C9" t="s">
        <v>113</v>
      </c>
      <c r="D9" t="s">
        <v>80</v>
      </c>
      <c r="E9" s="3" t="s">
        <v>109</v>
      </c>
      <c r="F9">
        <v>26</v>
      </c>
      <c r="G9">
        <v>10</v>
      </c>
      <c r="H9">
        <v>8</v>
      </c>
      <c r="I9">
        <v>10</v>
      </c>
      <c r="J9">
        <v>4</v>
      </c>
      <c r="K9">
        <f t="shared" si="0"/>
        <v>42</v>
      </c>
      <c r="L9" s="1">
        <f t="shared" si="1"/>
        <v>4.4444444444444446</v>
      </c>
      <c r="M9">
        <f t="shared" si="2"/>
        <v>430.8</v>
      </c>
      <c r="N9" s="4">
        <f t="shared" si="3"/>
        <v>365.50986666666671</v>
      </c>
      <c r="O9" s="4">
        <f t="shared" si="4"/>
        <v>338.46986666666669</v>
      </c>
      <c r="P9" s="4"/>
      <c r="Q9" s="4">
        <v>8</v>
      </c>
      <c r="R9" s="5" t="s">
        <v>114</v>
      </c>
      <c r="S9" s="5" t="s">
        <v>115</v>
      </c>
      <c r="T9" s="5" t="s">
        <v>116</v>
      </c>
      <c r="U9" s="5" t="s">
        <v>117</v>
      </c>
      <c r="V9" s="5" t="s">
        <v>21</v>
      </c>
    </row>
    <row r="10" spans="1:22" ht="75.3" x14ac:dyDescent="0.3">
      <c r="A10">
        <v>9</v>
      </c>
      <c r="B10" t="s">
        <v>118</v>
      </c>
      <c r="C10" t="s">
        <v>37</v>
      </c>
      <c r="D10" t="s">
        <v>80</v>
      </c>
      <c r="E10" s="3" t="s">
        <v>119</v>
      </c>
      <c r="F10">
        <v>26</v>
      </c>
      <c r="G10">
        <v>10</v>
      </c>
      <c r="H10">
        <v>8</v>
      </c>
      <c r="I10">
        <v>10</v>
      </c>
      <c r="J10">
        <v>4</v>
      </c>
      <c r="K10">
        <f t="shared" si="0"/>
        <v>42</v>
      </c>
      <c r="L10" s="1">
        <f t="shared" si="1"/>
        <v>4.4444444444444446</v>
      </c>
      <c r="M10">
        <f t="shared" si="2"/>
        <v>430.8</v>
      </c>
      <c r="N10" s="4">
        <f t="shared" si="3"/>
        <v>365.50986666666671</v>
      </c>
      <c r="O10" s="4">
        <f t="shared" si="4"/>
        <v>338.46986666666669</v>
      </c>
      <c r="P10" s="4"/>
      <c r="Q10" s="4">
        <v>9</v>
      </c>
      <c r="R10" s="5" t="s">
        <v>120</v>
      </c>
      <c r="S10" s="5" t="s">
        <v>121</v>
      </c>
      <c r="T10" s="5" t="s">
        <v>122</v>
      </c>
      <c r="U10" s="5" t="s">
        <v>123</v>
      </c>
      <c r="V10" s="5" t="s">
        <v>61</v>
      </c>
    </row>
    <row r="11" spans="1:22" ht="90.35" x14ac:dyDescent="0.3">
      <c r="A11">
        <v>10</v>
      </c>
      <c r="B11" t="s">
        <v>118</v>
      </c>
      <c r="C11" t="s">
        <v>37</v>
      </c>
      <c r="D11" t="s">
        <v>80</v>
      </c>
      <c r="E11" s="3" t="s">
        <v>124</v>
      </c>
      <c r="F11">
        <v>26</v>
      </c>
      <c r="G11">
        <v>10</v>
      </c>
      <c r="H11">
        <v>8</v>
      </c>
      <c r="I11">
        <v>10</v>
      </c>
      <c r="J11">
        <v>4</v>
      </c>
      <c r="K11">
        <f t="shared" si="0"/>
        <v>42</v>
      </c>
      <c r="L11" s="1">
        <f t="shared" si="1"/>
        <v>4.4444444444444446</v>
      </c>
      <c r="M11">
        <f t="shared" si="2"/>
        <v>430.8</v>
      </c>
      <c r="N11" s="4">
        <f t="shared" si="3"/>
        <v>365.50986666666671</v>
      </c>
      <c r="O11" s="4">
        <f t="shared" si="4"/>
        <v>338.46986666666669</v>
      </c>
      <c r="P11" s="4"/>
      <c r="Q11" s="4">
        <v>10</v>
      </c>
      <c r="R11" s="5" t="s">
        <v>125</v>
      </c>
      <c r="S11" s="5" t="s">
        <v>126</v>
      </c>
      <c r="T11" s="5" t="s">
        <v>122</v>
      </c>
      <c r="U11" s="5" t="s">
        <v>127</v>
      </c>
      <c r="V11" s="5" t="s">
        <v>128</v>
      </c>
    </row>
    <row r="12" spans="1:22" ht="60.25" x14ac:dyDescent="0.3">
      <c r="A12">
        <v>11</v>
      </c>
      <c r="B12" t="s">
        <v>44</v>
      </c>
      <c r="C12" t="s">
        <v>113</v>
      </c>
      <c r="D12" t="s">
        <v>80</v>
      </c>
      <c r="E12" s="3" t="s">
        <v>109</v>
      </c>
      <c r="F12">
        <v>26</v>
      </c>
      <c r="G12">
        <v>10</v>
      </c>
      <c r="H12">
        <v>8</v>
      </c>
      <c r="I12">
        <v>10</v>
      </c>
      <c r="J12">
        <v>4</v>
      </c>
      <c r="K12">
        <f t="shared" si="0"/>
        <v>42</v>
      </c>
      <c r="L12" s="1">
        <f t="shared" si="1"/>
        <v>4.4444444444444446</v>
      </c>
      <c r="M12">
        <f t="shared" si="2"/>
        <v>430.8</v>
      </c>
      <c r="N12" s="4">
        <f t="shared" si="3"/>
        <v>365.50986666666671</v>
      </c>
      <c r="O12" s="4">
        <f t="shared" si="4"/>
        <v>338.46986666666669</v>
      </c>
      <c r="P12" s="4"/>
      <c r="Q12" s="4">
        <v>11</v>
      </c>
      <c r="R12" s="5" t="s">
        <v>129</v>
      </c>
      <c r="S12" s="5" t="s">
        <v>130</v>
      </c>
      <c r="T12" s="5" t="s">
        <v>21</v>
      </c>
      <c r="U12" s="5" t="s">
        <v>131</v>
      </c>
      <c r="V12" s="5" t="s">
        <v>21</v>
      </c>
    </row>
    <row r="13" spans="1:22" ht="45.2" x14ac:dyDescent="0.3">
      <c r="A13">
        <v>12</v>
      </c>
      <c r="B13" t="s">
        <v>132</v>
      </c>
      <c r="C13" t="s">
        <v>26</v>
      </c>
      <c r="D13" t="s">
        <v>80</v>
      </c>
      <c r="E13" s="3" t="s">
        <v>133</v>
      </c>
      <c r="F13">
        <v>26</v>
      </c>
      <c r="G13">
        <v>10</v>
      </c>
      <c r="H13">
        <v>8</v>
      </c>
      <c r="I13">
        <v>10</v>
      </c>
      <c r="J13">
        <v>4</v>
      </c>
      <c r="K13">
        <f t="shared" si="0"/>
        <v>42</v>
      </c>
      <c r="L13" s="1">
        <f t="shared" si="1"/>
        <v>4.4444444444444446</v>
      </c>
      <c r="M13">
        <f t="shared" si="2"/>
        <v>430.8</v>
      </c>
      <c r="N13" s="4">
        <f t="shared" si="3"/>
        <v>365.50986666666671</v>
      </c>
      <c r="O13" s="4">
        <f t="shared" si="4"/>
        <v>338.46986666666669</v>
      </c>
      <c r="P13"/>
      <c r="Q13" s="4">
        <v>12</v>
      </c>
      <c r="R13" s="5" t="s">
        <v>134</v>
      </c>
      <c r="S13" s="5" t="s">
        <v>135</v>
      </c>
      <c r="T13" s="5" t="s">
        <v>52</v>
      </c>
      <c r="U13" s="5" t="s">
        <v>136</v>
      </c>
      <c r="V13" s="5" t="s">
        <v>21</v>
      </c>
    </row>
    <row r="14" spans="1:22" ht="45.2" x14ac:dyDescent="0.3">
      <c r="A14">
        <v>13</v>
      </c>
      <c r="B14" t="s">
        <v>137</v>
      </c>
      <c r="C14" t="s">
        <v>138</v>
      </c>
      <c r="D14" t="s">
        <v>80</v>
      </c>
      <c r="E14" s="3" t="s">
        <v>139</v>
      </c>
      <c r="F14">
        <v>26</v>
      </c>
      <c r="G14">
        <v>10</v>
      </c>
      <c r="H14">
        <v>8</v>
      </c>
      <c r="I14">
        <v>10</v>
      </c>
      <c r="J14">
        <v>4</v>
      </c>
      <c r="K14">
        <f t="shared" si="0"/>
        <v>42</v>
      </c>
      <c r="L14" s="1">
        <f t="shared" si="1"/>
        <v>4.4444444444444446</v>
      </c>
      <c r="M14">
        <f t="shared" si="2"/>
        <v>430.8</v>
      </c>
      <c r="N14" s="4">
        <f t="shared" si="3"/>
        <v>365.50986666666671</v>
      </c>
      <c r="O14" s="4">
        <f t="shared" si="4"/>
        <v>338.46986666666669</v>
      </c>
      <c r="P14"/>
      <c r="Q14" s="4">
        <v>13</v>
      </c>
      <c r="R14" s="5" t="s">
        <v>140</v>
      </c>
      <c r="S14" s="5" t="s">
        <v>141</v>
      </c>
      <c r="T14" s="5" t="s">
        <v>47</v>
      </c>
      <c r="U14" s="5" t="s">
        <v>142</v>
      </c>
      <c r="V14" s="5" t="s">
        <v>21</v>
      </c>
    </row>
    <row r="15" spans="1:22" ht="45.2" x14ac:dyDescent="0.3">
      <c r="A15">
        <v>14</v>
      </c>
      <c r="B15" t="s">
        <v>137</v>
      </c>
      <c r="C15" t="s">
        <v>138</v>
      </c>
      <c r="D15" t="s">
        <v>80</v>
      </c>
      <c r="E15" s="3" t="s">
        <v>143</v>
      </c>
      <c r="F15">
        <v>26</v>
      </c>
      <c r="G15">
        <v>10</v>
      </c>
      <c r="H15">
        <v>8</v>
      </c>
      <c r="I15">
        <v>10</v>
      </c>
      <c r="J15">
        <v>4</v>
      </c>
      <c r="K15">
        <f t="shared" si="0"/>
        <v>42</v>
      </c>
      <c r="L15" s="1">
        <f t="shared" si="1"/>
        <v>4.4444444444444446</v>
      </c>
      <c r="M15">
        <f t="shared" si="2"/>
        <v>430.8</v>
      </c>
      <c r="N15" s="4">
        <f t="shared" si="3"/>
        <v>365.50986666666671</v>
      </c>
      <c r="O15" s="4">
        <f t="shared" si="4"/>
        <v>338.46986666666669</v>
      </c>
      <c r="P15"/>
      <c r="Q15" s="4">
        <v>14</v>
      </c>
      <c r="R15" s="5" t="s">
        <v>144</v>
      </c>
      <c r="S15" s="5" t="s">
        <v>145</v>
      </c>
      <c r="T15" s="5" t="s">
        <v>33</v>
      </c>
      <c r="U15" s="5" t="s">
        <v>146</v>
      </c>
      <c r="V15" s="5" t="s">
        <v>21</v>
      </c>
    </row>
    <row r="16" spans="1:22" ht="45.2" x14ac:dyDescent="0.3">
      <c r="A16">
        <v>15</v>
      </c>
      <c r="B16" t="s">
        <v>147</v>
      </c>
      <c r="C16" t="s">
        <v>29</v>
      </c>
      <c r="D16" t="s">
        <v>35</v>
      </c>
      <c r="E16" s="3" t="s">
        <v>148</v>
      </c>
      <c r="F16">
        <v>26</v>
      </c>
      <c r="G16">
        <v>10</v>
      </c>
      <c r="H16">
        <v>8</v>
      </c>
      <c r="I16">
        <v>10</v>
      </c>
      <c r="J16">
        <v>4</v>
      </c>
      <c r="K16">
        <f t="shared" si="0"/>
        <v>42</v>
      </c>
      <c r="L16" s="1">
        <f t="shared" si="1"/>
        <v>4.4444444444444446</v>
      </c>
      <c r="M16">
        <f t="shared" si="2"/>
        <v>430.8</v>
      </c>
      <c r="N16" s="4">
        <f t="shared" si="3"/>
        <v>365.50986666666671</v>
      </c>
      <c r="O16" s="4">
        <f t="shared" si="4"/>
        <v>338.46986666666669</v>
      </c>
      <c r="P16"/>
      <c r="Q16" s="4">
        <v>15</v>
      </c>
      <c r="R16" s="5" t="s">
        <v>149</v>
      </c>
      <c r="S16" s="5" t="s">
        <v>150</v>
      </c>
      <c r="T16" s="5" t="s">
        <v>54</v>
      </c>
      <c r="U16" s="5" t="s">
        <v>151</v>
      </c>
      <c r="V16" s="5" t="s">
        <v>152</v>
      </c>
    </row>
    <row r="17" spans="1:22" ht="60.25" x14ac:dyDescent="0.3">
      <c r="A17">
        <v>16</v>
      </c>
      <c r="B17" t="s">
        <v>153</v>
      </c>
      <c r="C17" t="s">
        <v>154</v>
      </c>
      <c r="D17" t="s">
        <v>35</v>
      </c>
      <c r="E17" s="3" t="s">
        <v>20</v>
      </c>
      <c r="F17">
        <v>26</v>
      </c>
      <c r="G17">
        <v>10</v>
      </c>
      <c r="H17">
        <v>8</v>
      </c>
      <c r="I17">
        <v>10</v>
      </c>
      <c r="J17">
        <v>4</v>
      </c>
      <c r="K17">
        <f t="shared" si="0"/>
        <v>42</v>
      </c>
      <c r="L17" s="1">
        <f t="shared" si="1"/>
        <v>4.4444444444444446</v>
      </c>
      <c r="M17">
        <f t="shared" si="2"/>
        <v>430.8</v>
      </c>
      <c r="N17" s="4">
        <f t="shared" si="3"/>
        <v>365.50986666666671</v>
      </c>
      <c r="O17" s="4">
        <f t="shared" si="4"/>
        <v>338.46986666666669</v>
      </c>
      <c r="P17"/>
      <c r="Q17" s="4">
        <v>16</v>
      </c>
      <c r="R17" s="5" t="s">
        <v>155</v>
      </c>
      <c r="S17" s="5" t="s">
        <v>156</v>
      </c>
      <c r="T17" s="5" t="s">
        <v>157</v>
      </c>
      <c r="U17" s="5" t="s">
        <v>158</v>
      </c>
      <c r="V17" s="5" t="s">
        <v>159</v>
      </c>
    </row>
    <row r="18" spans="1:22" ht="60.25" x14ac:dyDescent="0.3">
      <c r="A18">
        <v>17</v>
      </c>
      <c r="B18" t="s">
        <v>153</v>
      </c>
      <c r="C18" t="s">
        <v>154</v>
      </c>
      <c r="D18" t="s">
        <v>35</v>
      </c>
      <c r="E18" s="3" t="s">
        <v>20</v>
      </c>
      <c r="F18">
        <v>26</v>
      </c>
      <c r="G18">
        <v>10</v>
      </c>
      <c r="H18">
        <v>8</v>
      </c>
      <c r="I18">
        <v>10</v>
      </c>
      <c r="J18">
        <v>4</v>
      </c>
      <c r="K18">
        <f t="shared" si="0"/>
        <v>42</v>
      </c>
      <c r="L18" s="1">
        <f t="shared" si="1"/>
        <v>4.4444444444444446</v>
      </c>
      <c r="M18">
        <f t="shared" si="2"/>
        <v>430.8</v>
      </c>
      <c r="N18" s="4">
        <f t="shared" si="3"/>
        <v>365.50986666666671</v>
      </c>
      <c r="O18" s="4">
        <f t="shared" si="4"/>
        <v>338.46986666666669</v>
      </c>
      <c r="P18"/>
      <c r="Q18" s="4">
        <v>17</v>
      </c>
      <c r="R18" s="5" t="s">
        <v>160</v>
      </c>
      <c r="S18" s="5" t="s">
        <v>156</v>
      </c>
      <c r="T18" s="5" t="s">
        <v>157</v>
      </c>
      <c r="U18" s="5" t="s">
        <v>161</v>
      </c>
      <c r="V18" s="5" t="s">
        <v>162</v>
      </c>
    </row>
    <row r="19" spans="1:22" ht="45.2" x14ac:dyDescent="0.3">
      <c r="A19">
        <v>18</v>
      </c>
      <c r="B19" t="s">
        <v>163</v>
      </c>
      <c r="C19" t="s">
        <v>164</v>
      </c>
      <c r="D19" t="s">
        <v>35</v>
      </c>
      <c r="E19" s="3" t="s">
        <v>45</v>
      </c>
      <c r="F19">
        <v>26</v>
      </c>
      <c r="G19">
        <v>10</v>
      </c>
      <c r="H19">
        <v>8</v>
      </c>
      <c r="I19">
        <v>10</v>
      </c>
      <c r="J19">
        <v>4</v>
      </c>
      <c r="K19">
        <f t="shared" si="0"/>
        <v>42</v>
      </c>
      <c r="L19" s="1">
        <f t="shared" si="1"/>
        <v>4.4444444444444446</v>
      </c>
      <c r="M19">
        <f t="shared" si="2"/>
        <v>430.8</v>
      </c>
      <c r="N19" s="4">
        <f t="shared" si="3"/>
        <v>365.50986666666671</v>
      </c>
      <c r="O19" s="4">
        <f t="shared" si="4"/>
        <v>338.46986666666669</v>
      </c>
      <c r="P19"/>
      <c r="Q19" s="4">
        <v>18</v>
      </c>
      <c r="R19" s="5" t="s">
        <v>165</v>
      </c>
      <c r="S19" s="5" t="s">
        <v>166</v>
      </c>
      <c r="T19" s="5" t="s">
        <v>167</v>
      </c>
      <c r="U19" s="5" t="s">
        <v>168</v>
      </c>
      <c r="V19" s="5" t="s">
        <v>169</v>
      </c>
    </row>
    <row r="20" spans="1:22" ht="45.2" x14ac:dyDescent="0.3">
      <c r="A20">
        <v>19</v>
      </c>
      <c r="B20" t="s">
        <v>170</v>
      </c>
      <c r="C20" t="s">
        <v>113</v>
      </c>
      <c r="D20" t="s">
        <v>35</v>
      </c>
      <c r="E20" s="3" t="s">
        <v>45</v>
      </c>
      <c r="F20">
        <v>26</v>
      </c>
      <c r="G20">
        <v>10</v>
      </c>
      <c r="H20">
        <v>8</v>
      </c>
      <c r="I20">
        <v>10</v>
      </c>
      <c r="J20">
        <v>4</v>
      </c>
      <c r="K20">
        <f t="shared" si="0"/>
        <v>42</v>
      </c>
      <c r="L20" s="1">
        <f t="shared" si="1"/>
        <v>4.4444444444444446</v>
      </c>
      <c r="M20">
        <f t="shared" si="2"/>
        <v>430.8</v>
      </c>
      <c r="N20" s="4">
        <f t="shared" si="3"/>
        <v>365.50986666666671</v>
      </c>
      <c r="O20" s="4">
        <f t="shared" si="4"/>
        <v>338.46986666666669</v>
      </c>
      <c r="P20"/>
      <c r="Q20" s="4">
        <v>19</v>
      </c>
      <c r="R20" s="5" t="s">
        <v>171</v>
      </c>
      <c r="S20" s="5" t="s">
        <v>172</v>
      </c>
      <c r="T20" s="5" t="s">
        <v>21</v>
      </c>
      <c r="U20" s="5" t="s">
        <v>173</v>
      </c>
      <c r="V20" s="5" t="s">
        <v>174</v>
      </c>
    </row>
    <row r="21" spans="1:22" ht="90.35" x14ac:dyDescent="0.3">
      <c r="A21">
        <v>20</v>
      </c>
      <c r="B21" t="s">
        <v>36</v>
      </c>
      <c r="C21" t="s">
        <v>37</v>
      </c>
      <c r="D21" t="s">
        <v>35</v>
      </c>
      <c r="E21" s="3" t="s">
        <v>20</v>
      </c>
      <c r="F21">
        <v>26</v>
      </c>
      <c r="G21">
        <v>10</v>
      </c>
      <c r="H21">
        <v>8</v>
      </c>
      <c r="I21">
        <v>10</v>
      </c>
      <c r="J21">
        <v>4</v>
      </c>
      <c r="K21">
        <f t="shared" si="0"/>
        <v>42</v>
      </c>
      <c r="L21" s="1">
        <f t="shared" si="1"/>
        <v>4.4444444444444446</v>
      </c>
      <c r="M21">
        <f t="shared" si="2"/>
        <v>430.8</v>
      </c>
      <c r="N21" s="4">
        <f t="shared" si="3"/>
        <v>365.50986666666671</v>
      </c>
      <c r="O21" s="4">
        <f t="shared" si="4"/>
        <v>338.46986666666669</v>
      </c>
      <c r="P21"/>
      <c r="Q21" s="4">
        <v>20</v>
      </c>
      <c r="R21" s="5" t="s">
        <v>175</v>
      </c>
      <c r="S21" s="5" t="s">
        <v>176</v>
      </c>
      <c r="T21" s="5" t="s">
        <v>122</v>
      </c>
      <c r="U21" s="5" t="s">
        <v>177</v>
      </c>
      <c r="V21" s="5" t="s">
        <v>178</v>
      </c>
    </row>
    <row r="22" spans="1:22" ht="60.25" x14ac:dyDescent="0.3">
      <c r="A22">
        <v>1</v>
      </c>
      <c r="B22" t="s">
        <v>179</v>
      </c>
      <c r="C22" t="s">
        <v>29</v>
      </c>
      <c r="D22" t="s">
        <v>80</v>
      </c>
      <c r="E22" s="3" t="s">
        <v>180</v>
      </c>
      <c r="F22">
        <v>26</v>
      </c>
      <c r="G22">
        <v>10</v>
      </c>
      <c r="H22">
        <v>8</v>
      </c>
      <c r="I22">
        <v>10</v>
      </c>
      <c r="J22">
        <v>4</v>
      </c>
      <c r="K22">
        <f t="shared" si="0"/>
        <v>42</v>
      </c>
      <c r="L22" s="1">
        <f t="shared" si="1"/>
        <v>4.4444444444444446</v>
      </c>
      <c r="M22">
        <f t="shared" si="2"/>
        <v>430.8</v>
      </c>
      <c r="N22" s="4">
        <f t="shared" si="3"/>
        <v>365.50986666666671</v>
      </c>
      <c r="O22" s="4">
        <f t="shared" si="4"/>
        <v>338.46986666666669</v>
      </c>
      <c r="P22"/>
      <c r="Q22" s="4">
        <v>21</v>
      </c>
      <c r="R22" s="5" t="s">
        <v>181</v>
      </c>
      <c r="S22" s="5" t="s">
        <v>182</v>
      </c>
      <c r="T22" s="5" t="s">
        <v>183</v>
      </c>
      <c r="U22" s="5" t="s">
        <v>184</v>
      </c>
      <c r="V22" s="5" t="s">
        <v>185</v>
      </c>
    </row>
    <row r="23" spans="1:22" ht="60.25" x14ac:dyDescent="0.3">
      <c r="A23">
        <v>2</v>
      </c>
      <c r="B23" t="s">
        <v>179</v>
      </c>
      <c r="C23" t="s">
        <v>29</v>
      </c>
      <c r="D23" t="s">
        <v>80</v>
      </c>
      <c r="E23" s="3" t="s">
        <v>186</v>
      </c>
      <c r="F23">
        <v>26</v>
      </c>
      <c r="G23">
        <v>10</v>
      </c>
      <c r="H23">
        <v>8</v>
      </c>
      <c r="I23">
        <v>10</v>
      </c>
      <c r="J23">
        <v>4</v>
      </c>
      <c r="K23">
        <f t="shared" si="0"/>
        <v>42</v>
      </c>
      <c r="L23" s="1">
        <f t="shared" si="1"/>
        <v>4.4444444444444446</v>
      </c>
      <c r="M23">
        <f t="shared" si="2"/>
        <v>430.8</v>
      </c>
      <c r="N23" s="4">
        <f t="shared" si="3"/>
        <v>365.50986666666671</v>
      </c>
      <c r="O23" s="4">
        <f t="shared" si="4"/>
        <v>338.46986666666669</v>
      </c>
      <c r="P23"/>
      <c r="Q23" s="4">
        <v>22</v>
      </c>
      <c r="R23" s="5" t="s">
        <v>181</v>
      </c>
      <c r="S23" s="5" t="s">
        <v>182</v>
      </c>
      <c r="T23" s="5" t="s">
        <v>183</v>
      </c>
      <c r="U23" s="5" t="s">
        <v>184</v>
      </c>
      <c r="V23" s="5" t="s">
        <v>185</v>
      </c>
    </row>
    <row r="24" spans="1:22" ht="45.2" x14ac:dyDescent="0.3">
      <c r="A24">
        <v>3</v>
      </c>
      <c r="B24" t="s">
        <v>187</v>
      </c>
      <c r="C24" t="s">
        <v>188</v>
      </c>
      <c r="D24" t="s">
        <v>80</v>
      </c>
      <c r="E24" s="3" t="s">
        <v>189</v>
      </c>
      <c r="F24">
        <v>26</v>
      </c>
      <c r="G24">
        <v>10</v>
      </c>
      <c r="H24">
        <v>8</v>
      </c>
      <c r="I24">
        <v>10</v>
      </c>
      <c r="J24">
        <v>4</v>
      </c>
      <c r="K24">
        <f t="shared" si="0"/>
        <v>42</v>
      </c>
      <c r="L24" s="1">
        <f t="shared" si="1"/>
        <v>4.4444444444444446</v>
      </c>
      <c r="M24">
        <f t="shared" si="2"/>
        <v>430.8</v>
      </c>
      <c r="N24" s="4">
        <f t="shared" si="3"/>
        <v>365.50986666666671</v>
      </c>
      <c r="O24" s="4">
        <f t="shared" si="4"/>
        <v>338.46986666666669</v>
      </c>
      <c r="P24"/>
      <c r="Q24" s="4">
        <v>23</v>
      </c>
      <c r="R24" s="5" t="s">
        <v>190</v>
      </c>
      <c r="S24" s="5" t="s">
        <v>191</v>
      </c>
      <c r="T24" s="5" t="s">
        <v>79</v>
      </c>
      <c r="U24" s="5" t="s">
        <v>192</v>
      </c>
      <c r="V24" s="5" t="s">
        <v>21</v>
      </c>
    </row>
    <row r="25" spans="1:22" ht="60.25" x14ac:dyDescent="0.3">
      <c r="A25">
        <v>4</v>
      </c>
      <c r="B25" t="s">
        <v>193</v>
      </c>
      <c r="C25" t="s">
        <v>97</v>
      </c>
      <c r="D25" t="s">
        <v>80</v>
      </c>
      <c r="E25" s="3" t="s">
        <v>194</v>
      </c>
      <c r="F25">
        <v>26</v>
      </c>
      <c r="G25">
        <v>10</v>
      </c>
      <c r="H25">
        <v>8</v>
      </c>
      <c r="I25">
        <v>10</v>
      </c>
      <c r="J25">
        <v>4</v>
      </c>
      <c r="K25">
        <f t="shared" si="0"/>
        <v>42</v>
      </c>
      <c r="L25" s="1">
        <f t="shared" si="1"/>
        <v>4.4444444444444446</v>
      </c>
      <c r="M25">
        <f t="shared" si="2"/>
        <v>430.8</v>
      </c>
      <c r="N25" s="4">
        <f t="shared" si="3"/>
        <v>365.50986666666671</v>
      </c>
      <c r="O25" s="4">
        <f t="shared" si="4"/>
        <v>338.46986666666669</v>
      </c>
      <c r="P25"/>
      <c r="Q25" s="4">
        <v>24</v>
      </c>
      <c r="R25" s="5" t="s">
        <v>195</v>
      </c>
      <c r="S25" s="5" t="s">
        <v>100</v>
      </c>
      <c r="T25" s="5" t="s">
        <v>21</v>
      </c>
      <c r="U25" s="5" t="s">
        <v>196</v>
      </c>
      <c r="V25" s="5" t="s">
        <v>102</v>
      </c>
    </row>
    <row r="26" spans="1:22" ht="60.25" x14ac:dyDescent="0.3">
      <c r="A26">
        <v>5</v>
      </c>
      <c r="B26" t="s">
        <v>197</v>
      </c>
      <c r="C26" t="s">
        <v>97</v>
      </c>
      <c r="D26" t="s">
        <v>80</v>
      </c>
      <c r="E26" s="3" t="s">
        <v>198</v>
      </c>
      <c r="F26">
        <v>26</v>
      </c>
      <c r="G26">
        <v>10</v>
      </c>
      <c r="H26">
        <v>8</v>
      </c>
      <c r="I26">
        <v>10</v>
      </c>
      <c r="J26">
        <v>4</v>
      </c>
      <c r="K26">
        <f t="shared" si="0"/>
        <v>42</v>
      </c>
      <c r="L26" s="1">
        <f t="shared" si="1"/>
        <v>4.4444444444444446</v>
      </c>
      <c r="M26">
        <f t="shared" si="2"/>
        <v>430.8</v>
      </c>
      <c r="N26" s="4">
        <f t="shared" si="3"/>
        <v>365.50986666666671</v>
      </c>
      <c r="O26" s="4">
        <f t="shared" si="4"/>
        <v>338.46986666666669</v>
      </c>
      <c r="P26"/>
      <c r="Q26" s="4">
        <v>25</v>
      </c>
      <c r="R26" s="5" t="s">
        <v>199</v>
      </c>
      <c r="S26" s="5" t="s">
        <v>200</v>
      </c>
      <c r="T26" s="5" t="s">
        <v>68</v>
      </c>
      <c r="U26" s="5" t="s">
        <v>64</v>
      </c>
      <c r="V26" s="5" t="s">
        <v>201</v>
      </c>
    </row>
    <row r="27" spans="1:22" ht="45.2" x14ac:dyDescent="0.3">
      <c r="A27">
        <v>6</v>
      </c>
      <c r="B27" t="s">
        <v>202</v>
      </c>
      <c r="C27" t="s">
        <v>203</v>
      </c>
      <c r="D27" t="s">
        <v>80</v>
      </c>
      <c r="E27" s="3" t="s">
        <v>204</v>
      </c>
      <c r="F27">
        <v>26</v>
      </c>
      <c r="G27">
        <v>10</v>
      </c>
      <c r="H27">
        <v>8</v>
      </c>
      <c r="I27">
        <v>10</v>
      </c>
      <c r="J27">
        <v>4</v>
      </c>
      <c r="K27">
        <f t="shared" si="0"/>
        <v>42</v>
      </c>
      <c r="L27" s="1">
        <f t="shared" si="1"/>
        <v>4.4444444444444446</v>
      </c>
      <c r="M27">
        <f t="shared" si="2"/>
        <v>430.8</v>
      </c>
      <c r="N27" s="4">
        <f t="shared" si="3"/>
        <v>365.50986666666671</v>
      </c>
      <c r="O27" s="4">
        <f t="shared" si="4"/>
        <v>338.46986666666669</v>
      </c>
      <c r="P27"/>
      <c r="Q27" s="4">
        <v>26</v>
      </c>
      <c r="R27" s="5" t="s">
        <v>205</v>
      </c>
      <c r="S27" s="5" t="s">
        <v>206</v>
      </c>
      <c r="T27" s="5" t="s">
        <v>207</v>
      </c>
      <c r="U27" s="5" t="s">
        <v>208</v>
      </c>
      <c r="V27" s="5" t="s">
        <v>56</v>
      </c>
    </row>
    <row r="28" spans="1:22" ht="60.25" x14ac:dyDescent="0.3">
      <c r="A28">
        <v>7</v>
      </c>
      <c r="B28" t="s">
        <v>209</v>
      </c>
      <c r="C28" t="s">
        <v>27</v>
      </c>
      <c r="D28" t="s">
        <v>80</v>
      </c>
      <c r="E28" s="3" t="s">
        <v>139</v>
      </c>
      <c r="F28">
        <v>26</v>
      </c>
      <c r="G28">
        <v>10</v>
      </c>
      <c r="H28">
        <v>8</v>
      </c>
      <c r="I28">
        <v>10</v>
      </c>
      <c r="J28">
        <v>4</v>
      </c>
      <c r="K28">
        <f t="shared" si="0"/>
        <v>42</v>
      </c>
      <c r="L28" s="1">
        <f t="shared" si="1"/>
        <v>4.4444444444444446</v>
      </c>
      <c r="M28">
        <f t="shared" si="2"/>
        <v>430.8</v>
      </c>
      <c r="N28" s="4">
        <f t="shared" si="3"/>
        <v>365.50986666666671</v>
      </c>
      <c r="O28" s="4">
        <f t="shared" si="4"/>
        <v>338.46986666666669</v>
      </c>
      <c r="P28"/>
      <c r="Q28" s="4">
        <v>27</v>
      </c>
      <c r="R28" s="5" t="s">
        <v>210</v>
      </c>
      <c r="S28" s="5" t="s">
        <v>211</v>
      </c>
      <c r="T28" s="5" t="s">
        <v>66</v>
      </c>
      <c r="U28" s="5" t="s">
        <v>67</v>
      </c>
      <c r="V28" s="5" t="s">
        <v>65</v>
      </c>
    </row>
    <row r="29" spans="1:22" ht="60.25" x14ac:dyDescent="0.3">
      <c r="A29">
        <v>8</v>
      </c>
      <c r="B29" t="s">
        <v>212</v>
      </c>
      <c r="C29" t="s">
        <v>213</v>
      </c>
      <c r="D29" t="s">
        <v>80</v>
      </c>
      <c r="E29" s="3" t="s">
        <v>214</v>
      </c>
      <c r="F29">
        <v>26</v>
      </c>
      <c r="G29">
        <v>10</v>
      </c>
      <c r="H29">
        <v>8</v>
      </c>
      <c r="I29">
        <v>10</v>
      </c>
      <c r="J29">
        <v>4</v>
      </c>
      <c r="K29">
        <f t="shared" si="0"/>
        <v>42</v>
      </c>
      <c r="L29" s="1">
        <f t="shared" si="1"/>
        <v>4.4444444444444446</v>
      </c>
      <c r="M29">
        <f t="shared" si="2"/>
        <v>430.8</v>
      </c>
      <c r="N29" s="4">
        <f t="shared" si="3"/>
        <v>365.50986666666671</v>
      </c>
      <c r="O29" s="4">
        <f t="shared" si="4"/>
        <v>338.46986666666669</v>
      </c>
      <c r="P29"/>
      <c r="Q29" s="4">
        <v>28</v>
      </c>
      <c r="R29" s="5" t="s">
        <v>215</v>
      </c>
      <c r="S29" s="5" t="s">
        <v>216</v>
      </c>
      <c r="T29" s="5" t="s">
        <v>33</v>
      </c>
      <c r="U29" s="5" t="s">
        <v>217</v>
      </c>
      <c r="V29" s="5" t="s">
        <v>218</v>
      </c>
    </row>
    <row r="30" spans="1:22" ht="75.3" x14ac:dyDescent="0.3">
      <c r="A30">
        <v>9</v>
      </c>
      <c r="B30" t="s">
        <v>197</v>
      </c>
      <c r="C30" t="s">
        <v>97</v>
      </c>
      <c r="D30" t="s">
        <v>80</v>
      </c>
      <c r="E30" s="3" t="s">
        <v>219</v>
      </c>
      <c r="F30">
        <v>26</v>
      </c>
      <c r="G30">
        <v>10</v>
      </c>
      <c r="H30">
        <v>8</v>
      </c>
      <c r="I30">
        <v>10</v>
      </c>
      <c r="J30">
        <v>4</v>
      </c>
      <c r="K30">
        <f t="shared" si="0"/>
        <v>42</v>
      </c>
      <c r="L30" s="1">
        <f t="shared" si="1"/>
        <v>4.4444444444444446</v>
      </c>
      <c r="M30">
        <f t="shared" si="2"/>
        <v>430.8</v>
      </c>
      <c r="N30" s="4">
        <f t="shared" si="3"/>
        <v>365.50986666666671</v>
      </c>
      <c r="O30" s="4">
        <f t="shared" si="4"/>
        <v>338.46986666666669</v>
      </c>
      <c r="P30"/>
      <c r="Q30" s="4">
        <v>29</v>
      </c>
      <c r="R30" s="5" t="s">
        <v>220</v>
      </c>
      <c r="S30" s="5" t="s">
        <v>200</v>
      </c>
      <c r="T30" s="5" t="s">
        <v>68</v>
      </c>
      <c r="U30" s="5" t="s">
        <v>64</v>
      </c>
      <c r="V30" s="5" t="s">
        <v>102</v>
      </c>
    </row>
    <row r="31" spans="1:22" ht="180.65" x14ac:dyDescent="0.3">
      <c r="A31">
        <v>10</v>
      </c>
      <c r="B31" t="s">
        <v>221</v>
      </c>
      <c r="C31" t="s">
        <v>222</v>
      </c>
      <c r="D31" t="s">
        <v>80</v>
      </c>
      <c r="E31" s="3" t="s">
        <v>223</v>
      </c>
      <c r="F31">
        <v>26</v>
      </c>
      <c r="G31">
        <v>10</v>
      </c>
      <c r="H31">
        <v>8</v>
      </c>
      <c r="I31">
        <v>10</v>
      </c>
      <c r="J31">
        <v>4</v>
      </c>
      <c r="K31">
        <f t="shared" si="0"/>
        <v>42</v>
      </c>
      <c r="L31" s="1">
        <f t="shared" si="1"/>
        <v>4.4444444444444446</v>
      </c>
      <c r="M31">
        <f t="shared" si="2"/>
        <v>430.8</v>
      </c>
      <c r="N31" s="4">
        <f t="shared" si="3"/>
        <v>365.50986666666671</v>
      </c>
      <c r="O31" s="4">
        <f t="shared" si="4"/>
        <v>338.46986666666669</v>
      </c>
      <c r="P31"/>
      <c r="Q31" s="4">
        <v>30</v>
      </c>
      <c r="R31" s="5" t="s">
        <v>224</v>
      </c>
      <c r="S31" s="5" t="s">
        <v>58</v>
      </c>
      <c r="T31" s="5" t="s">
        <v>53</v>
      </c>
      <c r="U31" s="5" t="s">
        <v>59</v>
      </c>
      <c r="V31" s="5" t="s">
        <v>225</v>
      </c>
    </row>
    <row r="32" spans="1:22" ht="316.14999999999998" x14ac:dyDescent="0.3">
      <c r="A32">
        <v>11</v>
      </c>
      <c r="B32" t="s">
        <v>221</v>
      </c>
      <c r="C32" t="s">
        <v>222</v>
      </c>
      <c r="D32" t="s">
        <v>80</v>
      </c>
      <c r="E32" s="3" t="s">
        <v>226</v>
      </c>
      <c r="F32">
        <v>26</v>
      </c>
      <c r="G32">
        <v>10</v>
      </c>
      <c r="H32">
        <v>8</v>
      </c>
      <c r="I32">
        <v>10</v>
      </c>
      <c r="J32">
        <v>4</v>
      </c>
      <c r="K32">
        <f t="shared" si="0"/>
        <v>42</v>
      </c>
      <c r="L32" s="1">
        <f t="shared" si="1"/>
        <v>4.4444444444444446</v>
      </c>
      <c r="M32">
        <f t="shared" si="2"/>
        <v>430.8</v>
      </c>
      <c r="N32" s="4">
        <f t="shared" si="3"/>
        <v>365.50986666666671</v>
      </c>
      <c r="O32" s="4">
        <f t="shared" si="4"/>
        <v>338.46986666666669</v>
      </c>
      <c r="P32"/>
      <c r="Q32" s="4">
        <v>31</v>
      </c>
      <c r="R32" s="5" t="s">
        <v>227</v>
      </c>
      <c r="S32" s="5" t="s">
        <v>58</v>
      </c>
      <c r="T32" s="5" t="s">
        <v>53</v>
      </c>
      <c r="U32" s="5" t="s">
        <v>228</v>
      </c>
      <c r="V32" s="5" t="s">
        <v>229</v>
      </c>
    </row>
    <row r="33" spans="1:22" ht="45.2" x14ac:dyDescent="0.3">
      <c r="A33">
        <v>12</v>
      </c>
      <c r="B33" t="s">
        <v>230</v>
      </c>
      <c r="C33" t="s">
        <v>34</v>
      </c>
      <c r="D33" t="s">
        <v>35</v>
      </c>
      <c r="E33" s="3" t="s">
        <v>231</v>
      </c>
      <c r="F33">
        <v>26</v>
      </c>
      <c r="G33">
        <v>10</v>
      </c>
      <c r="H33">
        <v>8</v>
      </c>
      <c r="I33">
        <v>10</v>
      </c>
      <c r="J33">
        <v>4</v>
      </c>
      <c r="K33">
        <f t="shared" si="0"/>
        <v>42</v>
      </c>
      <c r="L33" s="1">
        <f t="shared" si="1"/>
        <v>4.4444444444444446</v>
      </c>
      <c r="M33">
        <f t="shared" si="2"/>
        <v>430.8</v>
      </c>
      <c r="N33" s="4">
        <f t="shared" si="3"/>
        <v>365.50986666666671</v>
      </c>
      <c r="O33" s="4">
        <f t="shared" si="4"/>
        <v>338.46986666666669</v>
      </c>
      <c r="P33"/>
      <c r="Q33" s="4">
        <v>32</v>
      </c>
      <c r="R33" s="5" t="s">
        <v>232</v>
      </c>
      <c r="S33" s="5" t="s">
        <v>233</v>
      </c>
      <c r="T33" s="5" t="s">
        <v>48</v>
      </c>
      <c r="U33" s="5" t="s">
        <v>234</v>
      </c>
      <c r="V33" s="5" t="s">
        <v>21</v>
      </c>
    </row>
    <row r="34" spans="1:22" ht="45.2" x14ac:dyDescent="0.3">
      <c r="A34">
        <v>13</v>
      </c>
      <c r="B34" t="s">
        <v>41</v>
      </c>
      <c r="C34" t="s">
        <v>40</v>
      </c>
      <c r="D34" t="s">
        <v>35</v>
      </c>
      <c r="E34" s="3" t="s">
        <v>235</v>
      </c>
      <c r="F34">
        <v>26</v>
      </c>
      <c r="G34">
        <v>10</v>
      </c>
      <c r="H34">
        <v>8</v>
      </c>
      <c r="I34">
        <v>10</v>
      </c>
      <c r="J34">
        <v>4</v>
      </c>
      <c r="K34">
        <f t="shared" si="0"/>
        <v>42</v>
      </c>
      <c r="L34" s="1">
        <f t="shared" si="1"/>
        <v>4.4444444444444446</v>
      </c>
      <c r="M34">
        <f t="shared" si="2"/>
        <v>430.8</v>
      </c>
      <c r="N34" s="4">
        <f t="shared" si="3"/>
        <v>365.50986666666671</v>
      </c>
      <c r="O34" s="4">
        <f t="shared" si="4"/>
        <v>338.46986666666669</v>
      </c>
      <c r="P34"/>
      <c r="Q34" s="4">
        <v>33</v>
      </c>
      <c r="R34" s="5" t="s">
        <v>236</v>
      </c>
      <c r="S34" s="5" t="s">
        <v>237</v>
      </c>
      <c r="T34" s="5" t="s">
        <v>31</v>
      </c>
      <c r="U34" s="5" t="s">
        <v>238</v>
      </c>
      <c r="V34" s="5" t="s">
        <v>21</v>
      </c>
    </row>
    <row r="35" spans="1:22" ht="45.2" x14ac:dyDescent="0.3">
      <c r="A35">
        <v>14</v>
      </c>
      <c r="B35" t="s">
        <v>39</v>
      </c>
      <c r="C35" t="s">
        <v>40</v>
      </c>
      <c r="D35" t="s">
        <v>35</v>
      </c>
      <c r="E35" s="3" t="s">
        <v>239</v>
      </c>
      <c r="F35">
        <v>26</v>
      </c>
      <c r="G35">
        <v>10</v>
      </c>
      <c r="H35">
        <v>8</v>
      </c>
      <c r="I35">
        <v>10</v>
      </c>
      <c r="J35">
        <v>4</v>
      </c>
      <c r="K35">
        <f t="shared" si="0"/>
        <v>42</v>
      </c>
      <c r="L35" s="1">
        <f t="shared" si="1"/>
        <v>4.4444444444444446</v>
      </c>
      <c r="M35">
        <f t="shared" si="2"/>
        <v>430.8</v>
      </c>
      <c r="N35" s="4">
        <f t="shared" si="3"/>
        <v>365.50986666666671</v>
      </c>
      <c r="O35" s="4">
        <f t="shared" si="4"/>
        <v>338.46986666666669</v>
      </c>
      <c r="P35"/>
      <c r="Q35" s="4">
        <v>34</v>
      </c>
      <c r="R35" s="5" t="s">
        <v>240</v>
      </c>
      <c r="S35" s="5" t="s">
        <v>241</v>
      </c>
      <c r="T35" s="5" t="s">
        <v>31</v>
      </c>
      <c r="U35" s="5" t="s">
        <v>242</v>
      </c>
      <c r="V35" s="5" t="s">
        <v>21</v>
      </c>
    </row>
    <row r="36" spans="1:22" ht="45.2" x14ac:dyDescent="0.3">
      <c r="A36">
        <v>15</v>
      </c>
      <c r="B36" t="s">
        <v>243</v>
      </c>
      <c r="C36" t="s">
        <v>188</v>
      </c>
      <c r="D36" t="s">
        <v>35</v>
      </c>
      <c r="E36" s="3" t="s">
        <v>45</v>
      </c>
      <c r="F36">
        <v>26</v>
      </c>
      <c r="G36">
        <v>10</v>
      </c>
      <c r="H36">
        <v>8</v>
      </c>
      <c r="I36">
        <v>10</v>
      </c>
      <c r="J36">
        <v>4</v>
      </c>
      <c r="K36">
        <f t="shared" si="0"/>
        <v>42</v>
      </c>
      <c r="L36" s="1">
        <f t="shared" si="1"/>
        <v>4.4444444444444446</v>
      </c>
      <c r="M36">
        <f t="shared" si="2"/>
        <v>430.8</v>
      </c>
      <c r="N36" s="4">
        <f t="shared" si="3"/>
        <v>365.50986666666671</v>
      </c>
      <c r="O36" s="4">
        <f t="shared" si="4"/>
        <v>338.46986666666669</v>
      </c>
      <c r="P36"/>
      <c r="Q36" s="4">
        <v>35</v>
      </c>
      <c r="R36" s="5" t="s">
        <v>244</v>
      </c>
      <c r="S36" s="5" t="s">
        <v>245</v>
      </c>
      <c r="T36" s="5" t="s">
        <v>79</v>
      </c>
      <c r="U36" s="5" t="s">
        <v>246</v>
      </c>
      <c r="V36" s="5" t="s">
        <v>247</v>
      </c>
    </row>
    <row r="37" spans="1:22" ht="45.2" x14ac:dyDescent="0.3">
      <c r="A37">
        <v>16</v>
      </c>
      <c r="B37" t="s">
        <v>243</v>
      </c>
      <c r="C37" t="s">
        <v>188</v>
      </c>
      <c r="D37" t="s">
        <v>35</v>
      </c>
      <c r="E37" s="3" t="s">
        <v>45</v>
      </c>
      <c r="F37">
        <v>26</v>
      </c>
      <c r="G37">
        <v>10</v>
      </c>
      <c r="H37">
        <v>8</v>
      </c>
      <c r="I37">
        <v>10</v>
      </c>
      <c r="J37">
        <v>4</v>
      </c>
      <c r="K37">
        <f t="shared" si="0"/>
        <v>42</v>
      </c>
      <c r="L37" s="1">
        <f t="shared" si="1"/>
        <v>4.4444444444444446</v>
      </c>
      <c r="M37">
        <f t="shared" si="2"/>
        <v>430.8</v>
      </c>
      <c r="N37" s="4">
        <f t="shared" si="3"/>
        <v>365.50986666666671</v>
      </c>
      <c r="O37" s="4">
        <f t="shared" si="4"/>
        <v>338.46986666666669</v>
      </c>
      <c r="P37"/>
      <c r="Q37" s="4">
        <v>36</v>
      </c>
      <c r="R37" s="5" t="s">
        <v>248</v>
      </c>
      <c r="S37" s="5" t="s">
        <v>249</v>
      </c>
      <c r="T37" s="5" t="s">
        <v>55</v>
      </c>
      <c r="U37" s="5" t="s">
        <v>250</v>
      </c>
      <c r="V37" s="5" t="s">
        <v>57</v>
      </c>
    </row>
    <row r="38" spans="1:22" ht="60.25" x14ac:dyDescent="0.3">
      <c r="A38">
        <v>17</v>
      </c>
      <c r="B38" t="s">
        <v>251</v>
      </c>
      <c r="C38" t="s">
        <v>252</v>
      </c>
      <c r="D38" t="s">
        <v>35</v>
      </c>
      <c r="E38" s="3" t="s">
        <v>253</v>
      </c>
      <c r="F38">
        <v>26</v>
      </c>
      <c r="G38">
        <v>10</v>
      </c>
      <c r="H38">
        <v>8</v>
      </c>
      <c r="I38">
        <v>10</v>
      </c>
      <c r="J38">
        <v>4</v>
      </c>
      <c r="K38">
        <f t="shared" si="0"/>
        <v>42</v>
      </c>
      <c r="L38" s="1">
        <f t="shared" si="1"/>
        <v>4.4444444444444446</v>
      </c>
      <c r="M38">
        <f t="shared" si="2"/>
        <v>430.8</v>
      </c>
      <c r="N38" s="4">
        <f t="shared" si="3"/>
        <v>365.50986666666671</v>
      </c>
      <c r="O38" s="4">
        <f t="shared" si="4"/>
        <v>338.46986666666669</v>
      </c>
      <c r="P38"/>
      <c r="Q38" s="4">
        <v>37</v>
      </c>
      <c r="R38" s="5" t="s">
        <v>254</v>
      </c>
      <c r="S38" s="5" t="s">
        <v>255</v>
      </c>
      <c r="T38" s="5" t="s">
        <v>55</v>
      </c>
      <c r="U38" s="5" t="s">
        <v>256</v>
      </c>
      <c r="V38" s="5" t="s">
        <v>51</v>
      </c>
    </row>
    <row r="39" spans="1:22" ht="45.2" x14ac:dyDescent="0.3">
      <c r="A39">
        <v>18</v>
      </c>
      <c r="B39" t="s">
        <v>257</v>
      </c>
      <c r="C39" t="s">
        <v>252</v>
      </c>
      <c r="D39" t="s">
        <v>35</v>
      </c>
      <c r="E39" s="3" t="s">
        <v>258</v>
      </c>
      <c r="F39">
        <v>26</v>
      </c>
      <c r="G39">
        <v>10</v>
      </c>
      <c r="H39">
        <v>8</v>
      </c>
      <c r="I39">
        <v>10</v>
      </c>
      <c r="J39">
        <v>4</v>
      </c>
      <c r="K39">
        <f t="shared" si="0"/>
        <v>42</v>
      </c>
      <c r="L39" s="1">
        <f t="shared" si="1"/>
        <v>4.4444444444444446</v>
      </c>
      <c r="M39">
        <f t="shared" si="2"/>
        <v>430.8</v>
      </c>
      <c r="N39" s="4">
        <f t="shared" si="3"/>
        <v>365.50986666666671</v>
      </c>
      <c r="O39" s="4">
        <f t="shared" si="4"/>
        <v>338.46986666666669</v>
      </c>
      <c r="P39"/>
      <c r="Q39" s="4">
        <v>38</v>
      </c>
      <c r="R39" s="5" t="s">
        <v>259</v>
      </c>
      <c r="S39" s="5" t="s">
        <v>260</v>
      </c>
      <c r="T39" s="5" t="s">
        <v>55</v>
      </c>
      <c r="U39" s="5" t="s">
        <v>261</v>
      </c>
      <c r="V39" s="5" t="s">
        <v>51</v>
      </c>
    </row>
    <row r="40" spans="1:22" ht="45.2" x14ac:dyDescent="0.3">
      <c r="A40">
        <v>19</v>
      </c>
      <c r="B40" t="s">
        <v>38</v>
      </c>
      <c r="C40" t="s">
        <v>113</v>
      </c>
      <c r="D40" t="s">
        <v>35</v>
      </c>
      <c r="E40" s="3" t="s">
        <v>262</v>
      </c>
      <c r="F40">
        <v>26</v>
      </c>
      <c r="G40">
        <v>10</v>
      </c>
      <c r="H40">
        <v>8</v>
      </c>
      <c r="I40">
        <v>10</v>
      </c>
      <c r="J40">
        <v>4</v>
      </c>
      <c r="K40">
        <f t="shared" si="0"/>
        <v>42</v>
      </c>
      <c r="L40" s="1">
        <f t="shared" si="1"/>
        <v>4.4444444444444446</v>
      </c>
      <c r="M40">
        <f t="shared" si="2"/>
        <v>430.8</v>
      </c>
      <c r="N40" s="4">
        <f t="shared" si="3"/>
        <v>365.50986666666671</v>
      </c>
      <c r="O40" s="4">
        <f t="shared" si="4"/>
        <v>338.46986666666669</v>
      </c>
      <c r="P40"/>
      <c r="Q40" s="4">
        <v>39</v>
      </c>
      <c r="R40" s="5" t="s">
        <v>263</v>
      </c>
      <c r="S40" s="5" t="s">
        <v>73</v>
      </c>
      <c r="T40" s="5" t="s">
        <v>33</v>
      </c>
      <c r="U40" s="5" t="s">
        <v>74</v>
      </c>
      <c r="V40" s="5" t="s">
        <v>57</v>
      </c>
    </row>
    <row r="41" spans="1:22" ht="60.25" x14ac:dyDescent="0.3">
      <c r="A41">
        <v>20</v>
      </c>
      <c r="B41" t="s">
        <v>38</v>
      </c>
      <c r="C41" t="s">
        <v>113</v>
      </c>
      <c r="D41" t="s">
        <v>35</v>
      </c>
      <c r="E41" s="3" t="s">
        <v>264</v>
      </c>
      <c r="F41">
        <v>26</v>
      </c>
      <c r="G41">
        <v>10</v>
      </c>
      <c r="H41">
        <v>8</v>
      </c>
      <c r="I41">
        <v>10</v>
      </c>
      <c r="J41">
        <v>4</v>
      </c>
      <c r="K41">
        <f t="shared" si="0"/>
        <v>42</v>
      </c>
      <c r="L41" s="1">
        <f t="shared" si="1"/>
        <v>4.4444444444444446</v>
      </c>
      <c r="M41">
        <f t="shared" si="2"/>
        <v>430.8</v>
      </c>
      <c r="N41" s="4">
        <f t="shared" si="3"/>
        <v>365.50986666666671</v>
      </c>
      <c r="O41" s="4">
        <f t="shared" si="4"/>
        <v>338.46986666666669</v>
      </c>
      <c r="P41"/>
      <c r="Q41" s="4">
        <v>40</v>
      </c>
      <c r="R41" s="5" t="s">
        <v>265</v>
      </c>
      <c r="S41" s="5" t="s">
        <v>266</v>
      </c>
      <c r="T41" s="5" t="s">
        <v>48</v>
      </c>
      <c r="U41" s="5" t="s">
        <v>49</v>
      </c>
      <c r="V41" s="5" t="s">
        <v>21</v>
      </c>
    </row>
    <row r="42" spans="1:22" ht="45.2" x14ac:dyDescent="0.3">
      <c r="A42">
        <v>1</v>
      </c>
      <c r="B42" t="s">
        <v>25</v>
      </c>
      <c r="C42" t="s">
        <v>267</v>
      </c>
      <c r="D42" t="s">
        <v>80</v>
      </c>
      <c r="E42" s="3" t="s">
        <v>20</v>
      </c>
      <c r="F42">
        <v>26</v>
      </c>
      <c r="G42">
        <v>10</v>
      </c>
      <c r="H42">
        <v>8</v>
      </c>
      <c r="I42">
        <v>10</v>
      </c>
      <c r="J42">
        <v>4</v>
      </c>
      <c r="K42">
        <f t="shared" si="0"/>
        <v>42</v>
      </c>
      <c r="L42" s="1">
        <f t="shared" si="1"/>
        <v>4.4444444444444446</v>
      </c>
      <c r="M42">
        <f t="shared" si="2"/>
        <v>430.8</v>
      </c>
      <c r="N42" s="4">
        <f t="shared" si="3"/>
        <v>365.50986666666671</v>
      </c>
      <c r="O42" s="4">
        <f t="shared" si="4"/>
        <v>338.46986666666669</v>
      </c>
      <c r="P42"/>
      <c r="Q42" s="4">
        <v>41</v>
      </c>
      <c r="R42" s="5" t="s">
        <v>268</v>
      </c>
      <c r="S42" s="5" t="s">
        <v>269</v>
      </c>
      <c r="T42" s="5" t="s">
        <v>270</v>
      </c>
      <c r="U42" s="5" t="s">
        <v>271</v>
      </c>
      <c r="V42" s="5" t="s">
        <v>272</v>
      </c>
    </row>
    <row r="43" spans="1:22" ht="165.6" x14ac:dyDescent="0.3">
      <c r="A43">
        <v>2</v>
      </c>
      <c r="B43" t="s">
        <v>273</v>
      </c>
      <c r="C43" t="s">
        <v>252</v>
      </c>
      <c r="D43" t="s">
        <v>80</v>
      </c>
      <c r="E43" s="3" t="s">
        <v>274</v>
      </c>
      <c r="F43">
        <v>26</v>
      </c>
      <c r="G43">
        <v>10</v>
      </c>
      <c r="H43">
        <v>8</v>
      </c>
      <c r="I43">
        <v>10</v>
      </c>
      <c r="J43">
        <v>4</v>
      </c>
      <c r="K43">
        <f t="shared" si="0"/>
        <v>42</v>
      </c>
      <c r="L43" s="1">
        <f t="shared" si="1"/>
        <v>4.4444444444444446</v>
      </c>
      <c r="M43">
        <f t="shared" si="2"/>
        <v>430.8</v>
      </c>
      <c r="N43" s="4">
        <f t="shared" si="3"/>
        <v>365.50986666666671</v>
      </c>
      <c r="O43" s="4">
        <f t="shared" si="4"/>
        <v>338.46986666666669</v>
      </c>
      <c r="P43"/>
      <c r="Q43" s="4">
        <v>42</v>
      </c>
      <c r="R43" s="5" t="s">
        <v>275</v>
      </c>
      <c r="S43" s="5" t="s">
        <v>276</v>
      </c>
      <c r="T43" s="5" t="s">
        <v>24</v>
      </c>
      <c r="U43" s="5" t="s">
        <v>277</v>
      </c>
      <c r="V43" s="5" t="s">
        <v>51</v>
      </c>
    </row>
    <row r="44" spans="1:22" ht="75.3" x14ac:dyDescent="0.3">
      <c r="A44">
        <v>3</v>
      </c>
      <c r="B44" t="s">
        <v>278</v>
      </c>
      <c r="C44" t="s">
        <v>252</v>
      </c>
      <c r="D44" t="s">
        <v>80</v>
      </c>
      <c r="E44" s="3" t="s">
        <v>279</v>
      </c>
      <c r="F44">
        <v>26</v>
      </c>
      <c r="G44">
        <v>10</v>
      </c>
      <c r="H44">
        <v>8</v>
      </c>
      <c r="I44">
        <v>10</v>
      </c>
      <c r="J44">
        <v>4</v>
      </c>
      <c r="K44">
        <f t="shared" si="0"/>
        <v>42</v>
      </c>
      <c r="L44" s="1">
        <f t="shared" si="1"/>
        <v>4.4444444444444446</v>
      </c>
      <c r="M44">
        <f t="shared" si="2"/>
        <v>430.8</v>
      </c>
      <c r="N44" s="4">
        <f t="shared" si="3"/>
        <v>365.50986666666671</v>
      </c>
      <c r="O44" s="4">
        <f t="shared" si="4"/>
        <v>338.46986666666669</v>
      </c>
      <c r="P44"/>
      <c r="Q44" s="4">
        <v>43</v>
      </c>
      <c r="R44" s="5" t="s">
        <v>280</v>
      </c>
      <c r="S44" s="5" t="s">
        <v>281</v>
      </c>
      <c r="T44" s="5" t="s">
        <v>282</v>
      </c>
      <c r="U44" s="5" t="s">
        <v>283</v>
      </c>
      <c r="V44" s="5" t="s">
        <v>21</v>
      </c>
    </row>
    <row r="45" spans="1:22" ht="45.2" x14ac:dyDescent="0.3">
      <c r="A45">
        <v>4</v>
      </c>
      <c r="B45" t="s">
        <v>284</v>
      </c>
      <c r="C45" t="s">
        <v>285</v>
      </c>
      <c r="D45" t="s">
        <v>80</v>
      </c>
      <c r="E45" s="3" t="s">
        <v>286</v>
      </c>
      <c r="F45">
        <v>26</v>
      </c>
      <c r="G45">
        <v>10</v>
      </c>
      <c r="H45">
        <v>8</v>
      </c>
      <c r="I45">
        <v>10</v>
      </c>
      <c r="J45">
        <v>4</v>
      </c>
      <c r="K45">
        <f t="shared" si="0"/>
        <v>42</v>
      </c>
      <c r="L45" s="1">
        <f t="shared" si="1"/>
        <v>4.4444444444444446</v>
      </c>
      <c r="M45">
        <f t="shared" si="2"/>
        <v>430.8</v>
      </c>
      <c r="N45" s="4">
        <f t="shared" si="3"/>
        <v>365.50986666666671</v>
      </c>
      <c r="O45" s="4">
        <f t="shared" si="4"/>
        <v>338.46986666666669</v>
      </c>
      <c r="P45"/>
      <c r="Q45" s="4">
        <v>44</v>
      </c>
      <c r="R45" s="5" t="s">
        <v>287</v>
      </c>
      <c r="S45" s="5" t="s">
        <v>288</v>
      </c>
      <c r="T45" s="5" t="s">
        <v>289</v>
      </c>
      <c r="U45" s="5" t="s">
        <v>290</v>
      </c>
      <c r="V45" s="5" t="s">
        <v>21</v>
      </c>
    </row>
    <row r="46" spans="1:22" ht="75.3" x14ac:dyDescent="0.3">
      <c r="A46">
        <v>5</v>
      </c>
      <c r="B46" t="s">
        <v>291</v>
      </c>
      <c r="C46" t="s">
        <v>30</v>
      </c>
      <c r="D46" t="s">
        <v>80</v>
      </c>
      <c r="E46" s="3" t="s">
        <v>292</v>
      </c>
      <c r="F46">
        <v>26</v>
      </c>
      <c r="G46">
        <v>10</v>
      </c>
      <c r="H46">
        <v>8</v>
      </c>
      <c r="I46">
        <v>10</v>
      </c>
      <c r="J46">
        <v>4</v>
      </c>
      <c r="K46">
        <f t="shared" si="0"/>
        <v>42</v>
      </c>
      <c r="L46" s="1">
        <f t="shared" si="1"/>
        <v>4.4444444444444446</v>
      </c>
      <c r="M46">
        <f t="shared" si="2"/>
        <v>430.8</v>
      </c>
      <c r="N46" s="4">
        <f t="shared" si="3"/>
        <v>365.50986666666671</v>
      </c>
      <c r="O46" s="4">
        <f t="shared" si="4"/>
        <v>338.46986666666669</v>
      </c>
      <c r="P46"/>
      <c r="Q46" s="4">
        <v>45</v>
      </c>
      <c r="R46" s="5" t="s">
        <v>293</v>
      </c>
      <c r="S46" s="5" t="s">
        <v>294</v>
      </c>
      <c r="T46" s="5" t="s">
        <v>72</v>
      </c>
      <c r="U46" s="5" t="s">
        <v>50</v>
      </c>
      <c r="V46" s="5" t="s">
        <v>60</v>
      </c>
    </row>
    <row r="47" spans="1:22" ht="45.2" x14ac:dyDescent="0.3">
      <c r="A47">
        <v>6</v>
      </c>
      <c r="B47" t="s">
        <v>295</v>
      </c>
      <c r="C47" t="s">
        <v>30</v>
      </c>
      <c r="D47" t="s">
        <v>80</v>
      </c>
      <c r="E47" s="3" t="s">
        <v>296</v>
      </c>
      <c r="F47">
        <v>26</v>
      </c>
      <c r="G47">
        <v>10</v>
      </c>
      <c r="H47">
        <v>8</v>
      </c>
      <c r="I47">
        <v>10</v>
      </c>
      <c r="J47">
        <v>4</v>
      </c>
      <c r="K47">
        <f t="shared" si="0"/>
        <v>42</v>
      </c>
      <c r="L47" s="1">
        <f t="shared" si="1"/>
        <v>4.4444444444444446</v>
      </c>
      <c r="M47">
        <f t="shared" si="2"/>
        <v>430.8</v>
      </c>
      <c r="N47" s="4">
        <f t="shared" si="3"/>
        <v>365.50986666666671</v>
      </c>
      <c r="O47" s="4">
        <f t="shared" si="4"/>
        <v>338.46986666666669</v>
      </c>
      <c r="P47"/>
      <c r="Q47" s="4">
        <v>46</v>
      </c>
      <c r="R47" s="5" t="s">
        <v>297</v>
      </c>
      <c r="S47" s="5" t="s">
        <v>298</v>
      </c>
      <c r="T47" s="5" t="s">
        <v>31</v>
      </c>
      <c r="U47" s="5" t="s">
        <v>299</v>
      </c>
      <c r="V47" s="5" t="s">
        <v>21</v>
      </c>
    </row>
    <row r="48" spans="1:22" ht="45.2" x14ac:dyDescent="0.3">
      <c r="A48">
        <v>7</v>
      </c>
      <c r="B48" t="s">
        <v>300</v>
      </c>
      <c r="C48" t="s">
        <v>32</v>
      </c>
      <c r="D48" t="s">
        <v>80</v>
      </c>
      <c r="E48" s="3" t="s">
        <v>301</v>
      </c>
      <c r="F48">
        <v>26</v>
      </c>
      <c r="G48">
        <v>10</v>
      </c>
      <c r="H48">
        <v>8</v>
      </c>
      <c r="I48">
        <v>10</v>
      </c>
      <c r="J48">
        <v>4</v>
      </c>
      <c r="K48">
        <f t="shared" si="0"/>
        <v>42</v>
      </c>
      <c r="L48" s="1">
        <f t="shared" si="1"/>
        <v>4.4444444444444446</v>
      </c>
      <c r="M48">
        <f t="shared" si="2"/>
        <v>430.8</v>
      </c>
      <c r="N48" s="4">
        <f t="shared" si="3"/>
        <v>365.50986666666671</v>
      </c>
      <c r="O48" s="4">
        <f t="shared" si="4"/>
        <v>338.46986666666669</v>
      </c>
      <c r="P48"/>
      <c r="Q48" s="4">
        <v>47</v>
      </c>
      <c r="R48" s="5" t="s">
        <v>302</v>
      </c>
      <c r="S48" s="5" t="s">
        <v>303</v>
      </c>
      <c r="T48" s="5" t="s">
        <v>304</v>
      </c>
      <c r="U48" s="5" t="s">
        <v>305</v>
      </c>
      <c r="V48" s="5" t="s">
        <v>60</v>
      </c>
    </row>
    <row r="49" spans="1:22" ht="45.2" x14ac:dyDescent="0.3">
      <c r="A49">
        <v>8</v>
      </c>
      <c r="B49" t="s">
        <v>306</v>
      </c>
      <c r="C49" t="s">
        <v>30</v>
      </c>
      <c r="D49" t="s">
        <v>80</v>
      </c>
      <c r="E49" s="3" t="s">
        <v>307</v>
      </c>
      <c r="F49">
        <v>26</v>
      </c>
      <c r="G49">
        <v>10</v>
      </c>
      <c r="H49">
        <v>8</v>
      </c>
      <c r="I49">
        <v>10</v>
      </c>
      <c r="J49">
        <v>4</v>
      </c>
      <c r="K49">
        <f t="shared" si="0"/>
        <v>42</v>
      </c>
      <c r="L49" s="1">
        <f t="shared" si="1"/>
        <v>4.4444444444444446</v>
      </c>
      <c r="M49">
        <f t="shared" si="2"/>
        <v>430.8</v>
      </c>
      <c r="N49" s="4">
        <f t="shared" si="3"/>
        <v>365.50986666666671</v>
      </c>
      <c r="O49" s="4">
        <f t="shared" si="4"/>
        <v>338.46986666666669</v>
      </c>
      <c r="P49"/>
      <c r="Q49" s="4">
        <v>48</v>
      </c>
      <c r="R49" s="5" t="s">
        <v>308</v>
      </c>
      <c r="S49" s="5" t="s">
        <v>309</v>
      </c>
      <c r="T49" s="5" t="s">
        <v>72</v>
      </c>
      <c r="U49" s="5" t="s">
        <v>50</v>
      </c>
      <c r="V49" s="5" t="s">
        <v>128</v>
      </c>
    </row>
    <row r="50" spans="1:22" ht="45.2" x14ac:dyDescent="0.3">
      <c r="A50">
        <v>9</v>
      </c>
      <c r="B50" t="s">
        <v>310</v>
      </c>
      <c r="C50" t="s">
        <v>311</v>
      </c>
      <c r="D50" t="s">
        <v>80</v>
      </c>
      <c r="E50" s="3" t="s">
        <v>312</v>
      </c>
      <c r="F50">
        <v>26</v>
      </c>
      <c r="G50">
        <v>10</v>
      </c>
      <c r="H50">
        <v>8</v>
      </c>
      <c r="I50">
        <v>10</v>
      </c>
      <c r="J50">
        <v>4</v>
      </c>
      <c r="K50">
        <f t="shared" si="0"/>
        <v>42</v>
      </c>
      <c r="L50" s="1">
        <f t="shared" si="1"/>
        <v>4.4444444444444446</v>
      </c>
      <c r="M50">
        <f t="shared" si="2"/>
        <v>430.8</v>
      </c>
      <c r="N50" s="4">
        <f t="shared" si="3"/>
        <v>365.50986666666671</v>
      </c>
      <c r="O50" s="4">
        <f t="shared" si="4"/>
        <v>338.46986666666669</v>
      </c>
      <c r="P50"/>
      <c r="Q50" s="4">
        <v>49</v>
      </c>
      <c r="R50" s="5" t="s">
        <v>313</v>
      </c>
      <c r="S50" s="5" t="s">
        <v>314</v>
      </c>
      <c r="T50" s="5" t="s">
        <v>315</v>
      </c>
      <c r="U50" s="5" t="s">
        <v>316</v>
      </c>
      <c r="V50" s="5" t="s">
        <v>21</v>
      </c>
    </row>
    <row r="51" spans="1:22" ht="75.3" x14ac:dyDescent="0.3">
      <c r="A51">
        <v>10</v>
      </c>
      <c r="B51" t="s">
        <v>310</v>
      </c>
      <c r="C51" t="s">
        <v>311</v>
      </c>
      <c r="D51" t="s">
        <v>80</v>
      </c>
      <c r="E51" s="3" t="s">
        <v>317</v>
      </c>
      <c r="F51">
        <v>26</v>
      </c>
      <c r="G51">
        <v>10</v>
      </c>
      <c r="H51">
        <v>8</v>
      </c>
      <c r="I51">
        <v>10</v>
      </c>
      <c r="J51">
        <v>4</v>
      </c>
      <c r="K51">
        <f t="shared" si="0"/>
        <v>42</v>
      </c>
      <c r="L51" s="1">
        <f t="shared" si="1"/>
        <v>4.4444444444444446</v>
      </c>
      <c r="M51">
        <f t="shared" si="2"/>
        <v>430.8</v>
      </c>
      <c r="N51" s="4">
        <f t="shared" si="3"/>
        <v>365.50986666666671</v>
      </c>
      <c r="O51" s="4">
        <f t="shared" si="4"/>
        <v>338.46986666666669</v>
      </c>
      <c r="P51"/>
      <c r="Q51" s="4">
        <v>50</v>
      </c>
      <c r="R51" s="5" t="s">
        <v>318</v>
      </c>
      <c r="S51" s="5" t="s">
        <v>319</v>
      </c>
      <c r="T51" s="5" t="s">
        <v>315</v>
      </c>
      <c r="U51" s="5" t="s">
        <v>320</v>
      </c>
      <c r="V51" s="5" t="s">
        <v>321</v>
      </c>
    </row>
    <row r="52" spans="1:22" ht="60.25" x14ac:dyDescent="0.3">
      <c r="A52">
        <v>11</v>
      </c>
      <c r="B52" t="s">
        <v>322</v>
      </c>
      <c r="C52" t="s">
        <v>23</v>
      </c>
      <c r="D52" t="s">
        <v>80</v>
      </c>
      <c r="E52" s="3" t="s">
        <v>323</v>
      </c>
      <c r="F52">
        <v>26</v>
      </c>
      <c r="G52">
        <v>10</v>
      </c>
      <c r="H52">
        <v>8</v>
      </c>
      <c r="I52">
        <v>10</v>
      </c>
      <c r="J52">
        <v>4</v>
      </c>
      <c r="K52">
        <f t="shared" si="0"/>
        <v>42</v>
      </c>
      <c r="L52" s="1">
        <f t="shared" si="1"/>
        <v>4.4444444444444446</v>
      </c>
      <c r="M52">
        <f t="shared" si="2"/>
        <v>430.8</v>
      </c>
      <c r="N52" s="4">
        <f t="shared" si="3"/>
        <v>365.50986666666671</v>
      </c>
      <c r="O52" s="4">
        <f t="shared" si="4"/>
        <v>338.46986666666669</v>
      </c>
      <c r="P52"/>
      <c r="Q52" s="4">
        <v>51</v>
      </c>
      <c r="R52" s="5" t="s">
        <v>324</v>
      </c>
      <c r="S52" s="5" t="s">
        <v>325</v>
      </c>
      <c r="T52" s="5" t="s">
        <v>24</v>
      </c>
      <c r="U52" s="5" t="s">
        <v>326</v>
      </c>
      <c r="V52" s="5" t="s">
        <v>21</v>
      </c>
    </row>
    <row r="53" spans="1:22" ht="60.25" x14ac:dyDescent="0.3">
      <c r="A53">
        <v>12</v>
      </c>
      <c r="B53" t="s">
        <v>327</v>
      </c>
      <c r="C53" t="s">
        <v>23</v>
      </c>
      <c r="D53" t="s">
        <v>80</v>
      </c>
      <c r="E53" s="3" t="s">
        <v>328</v>
      </c>
      <c r="F53">
        <v>26</v>
      </c>
      <c r="G53">
        <v>10</v>
      </c>
      <c r="H53">
        <v>8</v>
      </c>
      <c r="I53">
        <v>10</v>
      </c>
      <c r="J53">
        <v>4</v>
      </c>
      <c r="K53">
        <f t="shared" si="0"/>
        <v>42</v>
      </c>
      <c r="L53" s="1">
        <f t="shared" si="1"/>
        <v>4.4444444444444446</v>
      </c>
      <c r="M53">
        <f t="shared" si="2"/>
        <v>430.8</v>
      </c>
      <c r="N53" s="4">
        <f t="shared" si="3"/>
        <v>365.50986666666671</v>
      </c>
      <c r="O53" s="4">
        <f t="shared" si="4"/>
        <v>338.46986666666669</v>
      </c>
      <c r="P53"/>
      <c r="Q53" s="4">
        <v>52</v>
      </c>
      <c r="R53" s="5" t="s">
        <v>329</v>
      </c>
      <c r="S53" s="5" t="s">
        <v>330</v>
      </c>
      <c r="T53" s="5" t="s">
        <v>331</v>
      </c>
      <c r="U53" s="5" t="s">
        <v>332</v>
      </c>
      <c r="V53" s="5" t="s">
        <v>21</v>
      </c>
    </row>
    <row r="54" spans="1:22" ht="150.55000000000001" x14ac:dyDescent="0.3">
      <c r="A54">
        <v>13</v>
      </c>
      <c r="B54" t="s">
        <v>333</v>
      </c>
      <c r="C54" t="s">
        <v>334</v>
      </c>
      <c r="D54" t="s">
        <v>80</v>
      </c>
      <c r="E54" s="3" t="s">
        <v>335</v>
      </c>
      <c r="F54">
        <v>26</v>
      </c>
      <c r="G54">
        <v>10</v>
      </c>
      <c r="H54">
        <v>8</v>
      </c>
      <c r="I54">
        <v>10</v>
      </c>
      <c r="J54">
        <v>4</v>
      </c>
      <c r="K54">
        <f t="shared" si="0"/>
        <v>42</v>
      </c>
      <c r="L54" s="1">
        <f t="shared" si="1"/>
        <v>4.4444444444444446</v>
      </c>
      <c r="M54">
        <f t="shared" si="2"/>
        <v>430.8</v>
      </c>
      <c r="N54" s="4">
        <f t="shared" si="3"/>
        <v>365.50986666666671</v>
      </c>
      <c r="O54" s="4">
        <f t="shared" si="4"/>
        <v>338.46986666666669</v>
      </c>
      <c r="P54"/>
      <c r="Q54" s="4">
        <v>53</v>
      </c>
      <c r="R54" s="5" t="s">
        <v>336</v>
      </c>
      <c r="S54" s="5" t="s">
        <v>337</v>
      </c>
      <c r="T54" s="5" t="s">
        <v>338</v>
      </c>
      <c r="U54" s="5" t="s">
        <v>339</v>
      </c>
      <c r="V54" s="5" t="s">
        <v>78</v>
      </c>
    </row>
    <row r="55" spans="1:22" ht="45.2" x14ac:dyDescent="0.3">
      <c r="A55">
        <v>14</v>
      </c>
      <c r="B55" t="s">
        <v>340</v>
      </c>
      <c r="C55" t="s">
        <v>334</v>
      </c>
      <c r="D55" t="s">
        <v>80</v>
      </c>
      <c r="E55" s="3" t="s">
        <v>22</v>
      </c>
      <c r="F55">
        <v>26</v>
      </c>
      <c r="G55">
        <v>10</v>
      </c>
      <c r="H55">
        <v>8</v>
      </c>
      <c r="I55">
        <v>10</v>
      </c>
      <c r="J55">
        <v>4</v>
      </c>
      <c r="K55">
        <f t="shared" si="0"/>
        <v>42</v>
      </c>
      <c r="L55" s="1">
        <f t="shared" si="1"/>
        <v>4.4444444444444446</v>
      </c>
      <c r="M55">
        <f t="shared" si="2"/>
        <v>430.8</v>
      </c>
      <c r="N55" s="4">
        <f t="shared" si="3"/>
        <v>365.50986666666671</v>
      </c>
      <c r="O55" s="4">
        <f t="shared" si="4"/>
        <v>338.46986666666669</v>
      </c>
      <c r="P55"/>
      <c r="Q55" s="4">
        <v>54</v>
      </c>
      <c r="R55" s="5" t="s">
        <v>341</v>
      </c>
      <c r="S55" s="5" t="s">
        <v>342</v>
      </c>
      <c r="T55" s="5" t="s">
        <v>79</v>
      </c>
      <c r="U55" s="5" t="s">
        <v>339</v>
      </c>
      <c r="V55" s="5" t="s">
        <v>78</v>
      </c>
    </row>
    <row r="56" spans="1:22" ht="60.25" x14ac:dyDescent="0.3">
      <c r="A56">
        <v>15</v>
      </c>
      <c r="B56" t="s">
        <v>343</v>
      </c>
      <c r="C56" t="s">
        <v>344</v>
      </c>
      <c r="D56" t="s">
        <v>80</v>
      </c>
      <c r="E56" s="3" t="s">
        <v>345</v>
      </c>
      <c r="F56">
        <v>26</v>
      </c>
      <c r="G56">
        <v>10</v>
      </c>
      <c r="H56">
        <v>8</v>
      </c>
      <c r="I56">
        <v>10</v>
      </c>
      <c r="J56">
        <v>4</v>
      </c>
      <c r="K56">
        <f t="shared" si="0"/>
        <v>42</v>
      </c>
      <c r="L56" s="1">
        <f t="shared" si="1"/>
        <v>4.4444444444444446</v>
      </c>
      <c r="M56">
        <f t="shared" si="2"/>
        <v>430.8</v>
      </c>
      <c r="N56" s="4">
        <f t="shared" si="3"/>
        <v>365.50986666666671</v>
      </c>
      <c r="O56" s="4">
        <f t="shared" si="4"/>
        <v>338.46986666666669</v>
      </c>
      <c r="P56"/>
      <c r="Q56" s="4">
        <v>55</v>
      </c>
      <c r="R56" s="5" t="s">
        <v>346</v>
      </c>
      <c r="S56" s="5" t="s">
        <v>63</v>
      </c>
      <c r="T56" s="5" t="s">
        <v>48</v>
      </c>
      <c r="U56" s="5" t="s">
        <v>62</v>
      </c>
      <c r="V56" s="5" t="s">
        <v>51</v>
      </c>
    </row>
    <row r="57" spans="1:22" ht="60.25" x14ac:dyDescent="0.3">
      <c r="A57">
        <v>16</v>
      </c>
      <c r="B57" t="s">
        <v>347</v>
      </c>
      <c r="C57" t="s">
        <v>311</v>
      </c>
      <c r="D57" t="s">
        <v>35</v>
      </c>
      <c r="E57" s="3" t="s">
        <v>348</v>
      </c>
      <c r="F57">
        <v>26</v>
      </c>
      <c r="G57">
        <v>10</v>
      </c>
      <c r="H57">
        <v>8</v>
      </c>
      <c r="I57">
        <v>10</v>
      </c>
      <c r="J57">
        <v>4</v>
      </c>
      <c r="K57">
        <f t="shared" si="0"/>
        <v>42</v>
      </c>
      <c r="L57" s="1">
        <f t="shared" si="1"/>
        <v>4.4444444444444446</v>
      </c>
      <c r="M57">
        <f t="shared" si="2"/>
        <v>430.8</v>
      </c>
      <c r="N57" s="4">
        <f t="shared" si="3"/>
        <v>365.50986666666671</v>
      </c>
      <c r="O57" s="4">
        <f t="shared" si="4"/>
        <v>338.46986666666669</v>
      </c>
      <c r="P57"/>
      <c r="Q57" s="4">
        <v>56</v>
      </c>
      <c r="R57" s="5" t="s">
        <v>349</v>
      </c>
      <c r="S57" s="5" t="s">
        <v>350</v>
      </c>
      <c r="T57" s="5" t="s">
        <v>21</v>
      </c>
      <c r="U57" s="5" t="s">
        <v>351</v>
      </c>
      <c r="V57" s="5" t="s">
        <v>21</v>
      </c>
    </row>
    <row r="58" spans="1:22" ht="45.2" x14ac:dyDescent="0.3">
      <c r="A58">
        <v>17</v>
      </c>
      <c r="B58" t="s">
        <v>352</v>
      </c>
      <c r="C58" t="s">
        <v>285</v>
      </c>
      <c r="D58" t="s">
        <v>35</v>
      </c>
      <c r="E58" s="3" t="s">
        <v>353</v>
      </c>
      <c r="F58">
        <v>26</v>
      </c>
      <c r="G58">
        <v>10</v>
      </c>
      <c r="H58">
        <v>8</v>
      </c>
      <c r="I58">
        <v>10</v>
      </c>
      <c r="J58">
        <v>4</v>
      </c>
      <c r="K58">
        <f t="shared" si="0"/>
        <v>42</v>
      </c>
      <c r="L58" s="1">
        <f t="shared" si="1"/>
        <v>4.4444444444444446</v>
      </c>
      <c r="M58">
        <f t="shared" si="2"/>
        <v>430.8</v>
      </c>
      <c r="N58" s="4">
        <f t="shared" si="3"/>
        <v>365.50986666666671</v>
      </c>
      <c r="O58" s="4">
        <f t="shared" si="4"/>
        <v>338.46986666666669</v>
      </c>
      <c r="P58"/>
      <c r="Q58" s="4">
        <v>57</v>
      </c>
      <c r="R58" s="5" t="s">
        <v>354</v>
      </c>
      <c r="S58" s="5" t="s">
        <v>75</v>
      </c>
      <c r="T58" s="5" t="s">
        <v>33</v>
      </c>
      <c r="U58" s="5" t="s">
        <v>76</v>
      </c>
      <c r="V58" s="5" t="s">
        <v>21</v>
      </c>
    </row>
    <row r="59" spans="1:22" ht="45.2" x14ac:dyDescent="0.3">
      <c r="A59">
        <v>18</v>
      </c>
      <c r="B59" t="s">
        <v>355</v>
      </c>
      <c r="C59" t="s">
        <v>356</v>
      </c>
      <c r="D59" t="s">
        <v>35</v>
      </c>
      <c r="E59" s="3" t="s">
        <v>262</v>
      </c>
      <c r="F59">
        <v>26</v>
      </c>
      <c r="G59">
        <v>10</v>
      </c>
      <c r="H59">
        <v>8</v>
      </c>
      <c r="I59">
        <v>10</v>
      </c>
      <c r="J59">
        <v>4</v>
      </c>
      <c r="K59">
        <f t="shared" si="0"/>
        <v>42</v>
      </c>
      <c r="L59" s="1">
        <f t="shared" si="1"/>
        <v>4.4444444444444446</v>
      </c>
      <c r="M59">
        <f t="shared" si="2"/>
        <v>430.8</v>
      </c>
      <c r="N59" s="4">
        <f t="shared" si="3"/>
        <v>365.50986666666671</v>
      </c>
      <c r="O59" s="4">
        <f t="shared" si="4"/>
        <v>338.46986666666669</v>
      </c>
      <c r="P59"/>
      <c r="Q59" s="4">
        <v>58</v>
      </c>
      <c r="R59" s="5" t="s">
        <v>357</v>
      </c>
      <c r="S59" s="5" t="s">
        <v>358</v>
      </c>
      <c r="T59" s="5" t="s">
        <v>24</v>
      </c>
      <c r="U59" s="5" t="s">
        <v>359</v>
      </c>
      <c r="V59" s="5" t="s">
        <v>21</v>
      </c>
    </row>
    <row r="60" spans="1:22" ht="75.3" x14ac:dyDescent="0.3">
      <c r="A60">
        <v>19</v>
      </c>
      <c r="B60" t="s">
        <v>360</v>
      </c>
      <c r="C60" t="s">
        <v>154</v>
      </c>
      <c r="D60" t="s">
        <v>35</v>
      </c>
      <c r="E60" s="3" t="s">
        <v>361</v>
      </c>
      <c r="F60">
        <v>26</v>
      </c>
      <c r="G60">
        <v>10</v>
      </c>
      <c r="H60">
        <v>8</v>
      </c>
      <c r="I60">
        <v>10</v>
      </c>
      <c r="J60">
        <v>4</v>
      </c>
      <c r="K60">
        <f t="shared" si="0"/>
        <v>42</v>
      </c>
      <c r="L60" s="1">
        <f t="shared" si="1"/>
        <v>4.4444444444444446</v>
      </c>
      <c r="M60">
        <f t="shared" si="2"/>
        <v>430.8</v>
      </c>
      <c r="N60" s="4">
        <f t="shared" si="3"/>
        <v>365.50986666666671</v>
      </c>
      <c r="O60" s="4">
        <f t="shared" si="4"/>
        <v>338.46986666666669</v>
      </c>
      <c r="P60"/>
      <c r="Q60" s="4">
        <v>59</v>
      </c>
      <c r="R60" s="5" t="s">
        <v>362</v>
      </c>
      <c r="S60" s="5" t="s">
        <v>363</v>
      </c>
      <c r="T60" s="5" t="s">
        <v>31</v>
      </c>
      <c r="U60" s="5" t="s">
        <v>77</v>
      </c>
      <c r="V60" s="5" t="s">
        <v>364</v>
      </c>
    </row>
    <row r="61" spans="1:22" ht="60.25" x14ac:dyDescent="0.3">
      <c r="A61">
        <v>20</v>
      </c>
      <c r="B61" t="s">
        <v>365</v>
      </c>
      <c r="C61" t="s">
        <v>154</v>
      </c>
      <c r="D61" t="s">
        <v>35</v>
      </c>
      <c r="E61" s="3" t="s">
        <v>366</v>
      </c>
      <c r="F61">
        <v>26</v>
      </c>
      <c r="G61">
        <v>10</v>
      </c>
      <c r="H61">
        <v>8</v>
      </c>
      <c r="I61">
        <v>10</v>
      </c>
      <c r="J61">
        <v>4</v>
      </c>
      <c r="K61">
        <f t="shared" si="0"/>
        <v>42</v>
      </c>
      <c r="L61" s="1">
        <f t="shared" si="1"/>
        <v>4.4444444444444446</v>
      </c>
      <c r="M61">
        <f t="shared" si="2"/>
        <v>430.8</v>
      </c>
      <c r="N61" s="4">
        <f t="shared" si="3"/>
        <v>365.50986666666671</v>
      </c>
      <c r="O61" s="4">
        <f t="shared" si="4"/>
        <v>338.46986666666669</v>
      </c>
      <c r="P61"/>
      <c r="Q61" s="4">
        <v>60</v>
      </c>
      <c r="R61" s="5" t="s">
        <v>367</v>
      </c>
      <c r="S61" s="5" t="s">
        <v>368</v>
      </c>
      <c r="T61" s="5" t="s">
        <v>71</v>
      </c>
      <c r="U61" s="5" t="s">
        <v>369</v>
      </c>
      <c r="V61" s="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comercial_diets_ecuador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Melo Durán</cp:lastModifiedBy>
  <dcterms:created xsi:type="dcterms:W3CDTF">2026-05-05T18:37:45Z</dcterms:created>
  <dcterms:modified xsi:type="dcterms:W3CDTF">2026-06-21T22:39:58Z</dcterms:modified>
</cp:coreProperties>
</file>