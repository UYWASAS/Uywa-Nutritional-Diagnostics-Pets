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53BAEFC7-3EBC-4535-B7EE-D5B2DC58CA2C}" xr6:coauthVersionLast="47" xr6:coauthVersionMax="47" xr10:uidLastSave="{00000000-0000-0000-0000-000000000000}"/>
  <bookViews>
    <workbookView xWindow="17764" yWindow="-118" windowWidth="18118" windowHeight="9583" xr2:uid="{7AE70C04-F77D-4B60-BB57-85E0702DB99F}"/>
  </bookViews>
  <sheets>
    <sheet name="comercial_diets_ecuador"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2" i="2" l="1"/>
  <c r="K82" i="2"/>
  <c r="M82" i="2" s="1"/>
  <c r="L81" i="2"/>
  <c r="K81" i="2"/>
  <c r="M81" i="2" s="1"/>
  <c r="L80" i="2"/>
  <c r="K80" i="2"/>
  <c r="M80" i="2" s="1"/>
  <c r="L79" i="2"/>
  <c r="K79" i="2"/>
  <c r="M79" i="2" s="1"/>
  <c r="L78" i="2"/>
  <c r="K78" i="2"/>
  <c r="M78" i="2" s="1"/>
  <c r="L77" i="2"/>
  <c r="K77" i="2"/>
  <c r="M77" i="2" s="1"/>
  <c r="L76" i="2"/>
  <c r="K76" i="2"/>
  <c r="M76" i="2" s="1"/>
  <c r="L75" i="2"/>
  <c r="K75" i="2"/>
  <c r="M75" i="2" s="1"/>
  <c r="L74" i="2"/>
  <c r="K74" i="2"/>
  <c r="M74" i="2" s="1"/>
  <c r="L73" i="2"/>
  <c r="K73" i="2"/>
  <c r="M73" i="2" s="1"/>
  <c r="L72" i="2"/>
  <c r="K72" i="2"/>
  <c r="M72" i="2" s="1"/>
  <c r="L71" i="2"/>
  <c r="K71" i="2"/>
  <c r="M71" i="2" s="1"/>
  <c r="L70" i="2"/>
  <c r="K70" i="2"/>
  <c r="M70" i="2" s="1"/>
  <c r="L69" i="2"/>
  <c r="K69" i="2"/>
  <c r="M69" i="2" s="1"/>
  <c r="L68" i="2"/>
  <c r="K68" i="2"/>
  <c r="M68" i="2" s="1"/>
  <c r="N68" i="2" s="1"/>
  <c r="O68" i="2" s="1"/>
  <c r="L67" i="2"/>
  <c r="K67" i="2"/>
  <c r="M67" i="2" s="1"/>
  <c r="L66" i="2"/>
  <c r="K66" i="2"/>
  <c r="M66" i="2" s="1"/>
  <c r="L65" i="2"/>
  <c r="K65" i="2"/>
  <c r="M65" i="2" s="1"/>
  <c r="L64" i="2"/>
  <c r="K64" i="2"/>
  <c r="M64" i="2" s="1"/>
  <c r="L63" i="2"/>
  <c r="K63" i="2"/>
  <c r="M63" i="2" s="1"/>
  <c r="L62" i="2"/>
  <c r="K62" i="2"/>
  <c r="M62" i="2" s="1"/>
  <c r="L61" i="2"/>
  <c r="K61" i="2"/>
  <c r="M61" i="2" s="1"/>
  <c r="L60" i="2"/>
  <c r="K60" i="2"/>
  <c r="M60" i="2" s="1"/>
  <c r="L59" i="2"/>
  <c r="K59" i="2"/>
  <c r="M59" i="2" s="1"/>
  <c r="L58" i="2"/>
  <c r="K58" i="2"/>
  <c r="M58" i="2" s="1"/>
  <c r="L57" i="2"/>
  <c r="K57" i="2"/>
  <c r="M57" i="2" s="1"/>
  <c r="L56" i="2"/>
  <c r="K56" i="2"/>
  <c r="M56" i="2" s="1"/>
  <c r="L55" i="2"/>
  <c r="K55" i="2"/>
  <c r="M55" i="2" s="1"/>
  <c r="L54" i="2"/>
  <c r="K54" i="2"/>
  <c r="M54" i="2" s="1"/>
  <c r="L53" i="2"/>
  <c r="K53" i="2"/>
  <c r="M53" i="2" s="1"/>
  <c r="L52" i="2"/>
  <c r="K52" i="2"/>
  <c r="M52" i="2" s="1"/>
  <c r="L51" i="2"/>
  <c r="K51" i="2"/>
  <c r="M51" i="2" s="1"/>
  <c r="L50" i="2"/>
  <c r="K50" i="2"/>
  <c r="M50" i="2" s="1"/>
  <c r="L49" i="2"/>
  <c r="K49" i="2"/>
  <c r="M49" i="2" s="1"/>
  <c r="N49" i="2" s="1"/>
  <c r="O49" i="2" s="1"/>
  <c r="L48" i="2"/>
  <c r="K48" i="2"/>
  <c r="M48" i="2" s="1"/>
  <c r="L47" i="2"/>
  <c r="K47" i="2"/>
  <c r="M47" i="2" s="1"/>
  <c r="L46" i="2"/>
  <c r="K46" i="2"/>
  <c r="M46" i="2" s="1"/>
  <c r="N46" i="2" s="1"/>
  <c r="O46" i="2" s="1"/>
  <c r="L45" i="2"/>
  <c r="K45" i="2"/>
  <c r="M45" i="2" s="1"/>
  <c r="L44" i="2"/>
  <c r="K44" i="2"/>
  <c r="M44" i="2" s="1"/>
  <c r="L43" i="2"/>
  <c r="K43" i="2"/>
  <c r="M43" i="2" s="1"/>
  <c r="L42" i="2"/>
  <c r="K42" i="2"/>
  <c r="M42" i="2" s="1"/>
  <c r="L41" i="2"/>
  <c r="K41" i="2"/>
  <c r="M41" i="2" s="1"/>
  <c r="L40" i="2"/>
  <c r="K40" i="2"/>
  <c r="M40" i="2" s="1"/>
  <c r="L39" i="2"/>
  <c r="K39" i="2"/>
  <c r="M39" i="2" s="1"/>
  <c r="L38" i="2"/>
  <c r="K38" i="2"/>
  <c r="M38" i="2" s="1"/>
  <c r="N38" i="2" s="1"/>
  <c r="O38" i="2" s="1"/>
  <c r="L37" i="2"/>
  <c r="K37" i="2"/>
  <c r="M37" i="2" s="1"/>
  <c r="L36" i="2"/>
  <c r="K36" i="2"/>
  <c r="M36" i="2" s="1"/>
  <c r="L35" i="2"/>
  <c r="K35" i="2"/>
  <c r="M35" i="2" s="1"/>
  <c r="L34" i="2"/>
  <c r="K34" i="2"/>
  <c r="M34" i="2" s="1"/>
  <c r="L33" i="2"/>
  <c r="K33" i="2"/>
  <c r="M33" i="2" s="1"/>
  <c r="L32" i="2"/>
  <c r="K32" i="2"/>
  <c r="M32" i="2" s="1"/>
  <c r="L31" i="2"/>
  <c r="K31" i="2"/>
  <c r="M31" i="2" s="1"/>
  <c r="N31" i="2" s="1"/>
  <c r="O31" i="2" s="1"/>
  <c r="L30" i="2"/>
  <c r="K30" i="2"/>
  <c r="M30" i="2" s="1"/>
  <c r="L29" i="2"/>
  <c r="K29" i="2"/>
  <c r="M29" i="2" s="1"/>
  <c r="L28" i="2"/>
  <c r="K28" i="2"/>
  <c r="M28" i="2" s="1"/>
  <c r="N28" i="2" s="1"/>
  <c r="O28" i="2" s="1"/>
  <c r="L27" i="2"/>
  <c r="K27" i="2"/>
  <c r="M27" i="2" s="1"/>
  <c r="L26" i="2"/>
  <c r="K26" i="2"/>
  <c r="M26" i="2" s="1"/>
  <c r="L25" i="2"/>
  <c r="K25" i="2"/>
  <c r="M25" i="2" s="1"/>
  <c r="L24" i="2"/>
  <c r="K24" i="2"/>
  <c r="M24" i="2" s="1"/>
  <c r="L23" i="2"/>
  <c r="K23" i="2"/>
  <c r="M23" i="2" s="1"/>
  <c r="L22" i="2"/>
  <c r="K22" i="2"/>
  <c r="M22" i="2" s="1"/>
  <c r="N22" i="2" s="1"/>
  <c r="O22" i="2" s="1"/>
  <c r="L21" i="2"/>
  <c r="K21" i="2"/>
  <c r="M21" i="2" s="1"/>
  <c r="L20" i="2"/>
  <c r="K20" i="2"/>
  <c r="M20" i="2" s="1"/>
  <c r="N20" i="2" s="1"/>
  <c r="O20" i="2" s="1"/>
  <c r="L19" i="2"/>
  <c r="K19" i="2"/>
  <c r="M19" i="2" s="1"/>
  <c r="L18" i="2"/>
  <c r="K18" i="2"/>
  <c r="M18" i="2" s="1"/>
  <c r="L17" i="2"/>
  <c r="K17" i="2"/>
  <c r="M17" i="2" s="1"/>
  <c r="L16" i="2"/>
  <c r="K16" i="2"/>
  <c r="M16" i="2" s="1"/>
  <c r="L15" i="2"/>
  <c r="K15" i="2"/>
  <c r="M15" i="2" s="1"/>
  <c r="L14" i="2"/>
  <c r="K14" i="2"/>
  <c r="M14" i="2" s="1"/>
  <c r="N14" i="2" s="1"/>
  <c r="O14" i="2" s="1"/>
  <c r="L13" i="2"/>
  <c r="K13" i="2"/>
  <c r="M13" i="2" s="1"/>
  <c r="L12" i="2"/>
  <c r="K12" i="2"/>
  <c r="M12" i="2" s="1"/>
  <c r="L11" i="2"/>
  <c r="K11" i="2"/>
  <c r="M11" i="2" s="1"/>
  <c r="L10" i="2"/>
  <c r="K10" i="2"/>
  <c r="M10" i="2" s="1"/>
  <c r="L9" i="2"/>
  <c r="K9" i="2"/>
  <c r="M9" i="2" s="1"/>
  <c r="L8" i="2"/>
  <c r="K8" i="2"/>
  <c r="M8" i="2" s="1"/>
  <c r="L7" i="2"/>
  <c r="K7" i="2"/>
  <c r="M7" i="2" s="1"/>
  <c r="L6" i="2"/>
  <c r="K6" i="2"/>
  <c r="M6" i="2" s="1"/>
  <c r="L5" i="2"/>
  <c r="K5" i="2"/>
  <c r="M5" i="2" s="1"/>
  <c r="L4" i="2"/>
  <c r="K4" i="2"/>
  <c r="M4" i="2" s="1"/>
  <c r="L3" i="2"/>
  <c r="K3" i="2"/>
  <c r="M3" i="2" s="1"/>
  <c r="L2" i="2"/>
  <c r="K2" i="2"/>
  <c r="M2" i="2" s="1"/>
  <c r="N58" i="2" l="1"/>
  <c r="O58" i="2" s="1"/>
  <c r="N3" i="2"/>
  <c r="O3" i="2" s="1"/>
  <c r="N79" i="2"/>
  <c r="O79" i="2" s="1"/>
  <c r="N42" i="2"/>
  <c r="O42" i="2" s="1"/>
  <c r="N27" i="2"/>
  <c r="O27" i="2" s="1"/>
  <c r="N39" i="2"/>
  <c r="O39" i="2" s="1"/>
  <c r="N71" i="2"/>
  <c r="O71" i="2" s="1"/>
  <c r="N56" i="2"/>
  <c r="O56" i="2" s="1"/>
  <c r="N36" i="2"/>
  <c r="O36" i="2" s="1"/>
  <c r="N77" i="2"/>
  <c r="O77" i="2" s="1"/>
  <c r="N10" i="2"/>
  <c r="O10" i="2" s="1"/>
  <c r="N45" i="2"/>
  <c r="O45" i="2" s="1"/>
  <c r="N82" i="2"/>
  <c r="O82" i="2" s="1"/>
  <c r="N64" i="2"/>
  <c r="O64" i="2" s="1"/>
  <c r="N13" i="2"/>
  <c r="O13" i="2" s="1"/>
  <c r="N18" i="2"/>
  <c r="O18" i="2" s="1"/>
  <c r="N34" i="2"/>
  <c r="O34" i="2" s="1"/>
  <c r="N8" i="2"/>
  <c r="O8" i="2" s="1"/>
  <c r="N74" i="2"/>
  <c r="O74" i="2" s="1"/>
  <c r="N75" i="2"/>
  <c r="O75" i="2" s="1"/>
  <c r="N73" i="2"/>
  <c r="O73" i="2" s="1"/>
  <c r="N37" i="2"/>
  <c r="O37" i="2" s="1"/>
  <c r="N54" i="2"/>
  <c r="O54" i="2" s="1"/>
  <c r="N52" i="2"/>
  <c r="O52" i="2" s="1"/>
  <c r="N35" i="2"/>
  <c r="O35" i="2" s="1"/>
  <c r="N40" i="2"/>
  <c r="O40" i="2" s="1"/>
  <c r="N24" i="2"/>
  <c r="O24" i="2" s="1"/>
  <c r="N4" i="2"/>
  <c r="O4" i="2" s="1"/>
  <c r="N55" i="2"/>
  <c r="O55" i="2" s="1"/>
  <c r="N53" i="2"/>
  <c r="O53" i="2" s="1"/>
  <c r="N41" i="2"/>
  <c r="O41" i="2" s="1"/>
  <c r="N15" i="2"/>
  <c r="O15" i="2" s="1"/>
  <c r="N66" i="2"/>
  <c r="O66" i="2" s="1"/>
  <c r="N78" i="2"/>
  <c r="O78" i="2" s="1"/>
  <c r="N6" i="2"/>
  <c r="O6" i="2" s="1"/>
  <c r="N47" i="2"/>
  <c r="O47" i="2" s="1"/>
  <c r="N61" i="2"/>
  <c r="O61" i="2" s="1"/>
  <c r="N7" i="2"/>
  <c r="O7" i="2" s="1"/>
  <c r="N57" i="2"/>
  <c r="O57" i="2" s="1"/>
  <c r="N72" i="2"/>
  <c r="O72" i="2" s="1"/>
  <c r="N44" i="2"/>
  <c r="O44" i="2" s="1"/>
  <c r="N29" i="2"/>
  <c r="O29" i="2" s="1"/>
  <c r="N43" i="2"/>
  <c r="O43" i="2" s="1"/>
  <c r="N65" i="2"/>
  <c r="O65" i="2" s="1"/>
  <c r="N81" i="2"/>
  <c r="O81" i="2" s="1"/>
  <c r="N21" i="2"/>
  <c r="O21" i="2" s="1"/>
  <c r="N26" i="2"/>
  <c r="O26" i="2" s="1"/>
  <c r="N60" i="2"/>
  <c r="O60" i="2" s="1"/>
  <c r="N16" i="2"/>
  <c r="O16" i="2" s="1"/>
  <c r="N11" i="2"/>
  <c r="O11" i="2" s="1"/>
  <c r="N76" i="2"/>
  <c r="O76" i="2" s="1"/>
  <c r="N23" i="2"/>
  <c r="O23" i="2" s="1"/>
  <c r="N32" i="2"/>
  <c r="O32" i="2" s="1"/>
  <c r="N50" i="2"/>
  <c r="O50" i="2" s="1"/>
  <c r="N63" i="2"/>
  <c r="O63" i="2" s="1"/>
  <c r="N69" i="2"/>
  <c r="O69" i="2" s="1"/>
  <c r="N5" i="2"/>
  <c r="O5" i="2" s="1"/>
  <c r="N19" i="2"/>
  <c r="O19" i="2" s="1"/>
  <c r="N25" i="2"/>
  <c r="O25" i="2" s="1"/>
  <c r="N51" i="2"/>
  <c r="O51" i="2" s="1"/>
  <c r="N12" i="2"/>
  <c r="O12" i="2" s="1"/>
  <c r="N33" i="2"/>
  <c r="O33" i="2" s="1"/>
  <c r="N30" i="2"/>
  <c r="O30" i="2" s="1"/>
  <c r="N48" i="2"/>
  <c r="O48" i="2" s="1"/>
  <c r="N62" i="2"/>
  <c r="O62" i="2" s="1"/>
  <c r="N67" i="2"/>
  <c r="O67" i="2" s="1"/>
  <c r="N2" i="2"/>
  <c r="O2" i="2" s="1"/>
  <c r="N70" i="2"/>
  <c r="O70" i="2" s="1"/>
  <c r="N9" i="2"/>
  <c r="O9" i="2" s="1"/>
  <c r="N17" i="2"/>
  <c r="O17" i="2" s="1"/>
  <c r="N59" i="2"/>
  <c r="O59" i="2" s="1"/>
  <c r="N80" i="2"/>
  <c r="O80" i="2" s="1"/>
</calcChain>
</file>

<file path=xl/sharedStrings.xml><?xml version="1.0" encoding="utf-8"?>
<sst xmlns="http://schemas.openxmlformats.org/spreadsheetml/2006/main" count="834" uniqueCount="560">
  <si>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</si>
  <si>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</si>
  <si>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</si>
  <si>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</si>
  <si>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</si>
  <si>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</si>
  <si>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</si>
  <si>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</si>
  <si>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</si>
  <si>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</si>
  <si>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</si>
  <si>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</si>
  <si>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</si>
  <si>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</si>
  <si>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</si>
  <si>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</si>
  <si>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</si>
  <si>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</si>
  <si>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</si>
  <si>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</si>
  <si>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</si>
  <si>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</si>
  <si>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</si>
  <si>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</si>
  <si>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</si>
  <si>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</si>
  <si>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</si>
  <si>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</si>
  <si>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</si>
  <si>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</si>
  <si>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</si>
  <si>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</si>
  <si>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</si>
  <si>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</si>
  <si>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</si>
  <si>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</si>
  <si>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</si>
  <si>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</si>
  <si>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</si>
  <si>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</si>
  <si>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</si>
  <si>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</si>
  <si>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</si>
  <si>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</si>
  <si>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</si>
  <si>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</si>
  <si>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</si>
  <si>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</si>
  <si>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</si>
  <si>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</si>
  <si>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Levadura de cerveza</t>
  </si>
  <si>
    <t>Aceite de salmón</t>
  </si>
  <si>
    <t>Grasa de pollo; Aceite de pescado</t>
  </si>
  <si>
    <t>Grasa animal y/o vegetal</t>
  </si>
  <si>
    <t>Grasa de pollo</t>
  </si>
  <si>
    <t>Levadura de cerveza seca</t>
  </si>
  <si>
    <t>Cloruro de potasio</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</si>
  <si>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</si>
  <si>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</si>
  <si>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</si>
  <si>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</si>
  <si>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</si>
  <si>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</si>
  <si>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</si>
  <si>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</si>
  <si>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</si>
  <si>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</si>
  <si>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</si>
  <si>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</si>
  <si>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</si>
  <si>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</si>
  <si>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</si>
  <si>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</si>
  <si>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</si>
  <si>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</si>
  <si>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</si>
  <si>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</si>
  <si>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</si>
  <si>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</si>
  <si>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</si>
  <si>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</si>
  <si>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</si>
  <si>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</si>
  <si>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</si>
  <si>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</si>
  <si>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</si>
  <si>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</si>
  <si>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</si>
  <si>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</si>
  <si>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</si>
  <si>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</si>
  <si>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</si>
  <si>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</si>
  <si>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</si>
  <si>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</si>
  <si>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</si>
  <si>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</si>
  <si>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</si>
  <si>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</si>
  <si>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</si>
  <si>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</si>
  <si>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</si>
  <si>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</si>
  <si>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</si>
  <si>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</si>
  <si>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</si>
  <si>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</si>
  <si>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</si>
  <si>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</si>
  <si>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</si>
  <si>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</si>
  <si>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</si>
  <si>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</si>
  <si>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</si>
  <si>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</si>
  <si>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</si>
  <si>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</si>
  <si>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</si>
  <si>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</si>
  <si>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</si>
  <si>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</si>
  <si>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</si>
  <si>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</si>
  <si>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</si>
  <si>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</si>
  <si>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</si>
  <si>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</si>
  <si>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</si>
  <si>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</si>
  <si>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</si>
  <si>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</si>
  <si>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</si>
  <si>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</si>
  <si>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</si>
  <si>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</si>
  <si>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</si>
  <si>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</si>
  <si>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</si>
  <si>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</si>
  <si>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</si>
  <si>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</si>
  <si>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</si>
  <si>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</si>
  <si>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</si>
  <si>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</si>
  <si>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</si>
  <si>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</si>
  <si>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</si>
  <si>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</si>
  <si>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</si>
  <si>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</si>
  <si>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</si>
  <si>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</si>
  <si>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</si>
  <si>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</si>
  <si>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</si>
  <si>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</si>
  <si>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</si>
  <si>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</si>
  <si>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</si>
  <si>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</si>
  <si>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</si>
  <si>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</si>
  <si>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</si>
  <si>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</si>
  <si>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</si>
  <si>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</si>
  <si>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</si>
  <si>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</si>
  <si>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</si>
  <si>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</si>
  <si>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</si>
  <si>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</si>
  <si>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</si>
  <si>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</si>
  <si>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</si>
  <si>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</si>
  <si>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</si>
  <si>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</si>
  <si>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</si>
  <si>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</si>
  <si>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</si>
  <si>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</si>
  <si>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</si>
  <si>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</si>
  <si>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</si>
  <si>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</si>
  <si>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</si>
  <si>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</si>
  <si>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</si>
  <si>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</si>
  <si>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</si>
  <si>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</si>
  <si>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</si>
  <si>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</si>
  <si>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</si>
  <si>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</si>
  <si>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</si>
  <si>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</si>
  <si>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</si>
  <si>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</si>
  <si>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</si>
  <si>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</si>
  <si>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</si>
  <si>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</si>
  <si>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</si>
  <si>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</si>
  <si>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</si>
  <si>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</si>
  <si>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</si>
  <si>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</si>
  <si>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</si>
  <si>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</si>
  <si>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</si>
  <si>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</si>
  <si>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</si>
  <si>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</si>
  <si>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</si>
  <si>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</si>
  <si>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</si>
  <si>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</si>
  <si>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</si>
  <si>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</si>
  <si>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</si>
  <si>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</si>
  <si>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</si>
  <si>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</si>
  <si>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</si>
  <si>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</si>
  <si>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</si>
  <si>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</si>
  <si>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</si>
  <si>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</si>
  <si>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</si>
  <si>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</si>
  <si>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</si>
  <si>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</si>
  <si>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</si>
  <si>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</si>
  <si>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</si>
  <si>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</si>
  <si>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</si>
  <si>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</si>
  <si>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</si>
  <si>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</si>
  <si>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</si>
  <si>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</si>
  <si>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</si>
  <si>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</si>
  <si>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</si>
  <si>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</si>
  <si>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</si>
  <si>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</si>
  <si>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</si>
  <si>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</si>
  <si>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</si>
  <si>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</si>
  <si>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</si>
  <si>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</si>
  <si>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</si>
  <si>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</si>
  <si>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</si>
  <si>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</si>
  <si>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</si>
  <si>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</si>
  <si>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</si>
  <si>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</si>
  <si>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</si>
  <si>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</si>
  <si>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</si>
  <si>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</si>
  <si>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</si>
  <si>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</si>
  <si>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</si>
  <si>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</si>
  <si>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</si>
  <si>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</si>
  <si>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</si>
  <si>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</si>
  <si>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</si>
  <si>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</si>
  <si>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</si>
  <si>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</si>
  <si>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</si>
  <si>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</si>
  <si>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</si>
  <si>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</si>
  <si>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</si>
  <si>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</si>
  <si>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</si>
  <si>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</si>
  <si>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</si>
  <si>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</si>
  <si>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</si>
  <si>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</si>
  <si>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</si>
  <si>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</si>
  <si>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</si>
  <si>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</si>
  <si>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</si>
  <si>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</si>
  <si>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</si>
  <si>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</si>
  <si>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</si>
  <si>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</si>
  <si>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</si>
  <si>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</si>
  <si>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</si>
  <si>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</si>
  <si>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</si>
  <si>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</si>
  <si>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</si>
  <si>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</si>
  <si>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</si>
  <si>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</si>
  <si>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</si>
  <si>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</si>
  <si>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</si>
  <si>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</si>
  <si>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</si>
  <si>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</si>
  <si>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</si>
  <si>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</si>
  <si>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</si>
  <si>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</si>
  <si>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</si>
  <si>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</si>
  <si>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</si>
  <si>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</si>
  <si>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</si>
  <si>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</si>
  <si>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</si>
  <si>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</si>
  <si>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</si>
  <si>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</si>
  <si>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</si>
  <si>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</si>
  <si>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</si>
  <si>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</si>
  <si>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</si>
  <si>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</si>
  <si>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</si>
  <si>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</si>
  <si>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</si>
  <si>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</si>
  <si>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</si>
  <si>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</si>
  <si>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</si>
  <si>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</si>
  <si>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</si>
  <si>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</si>
  <si>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</si>
  <si>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</si>
  <si>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</si>
  <si>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</si>
  <si>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</si>
  <si>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</si>
  <si>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Carne de pollo y salmón congelados; Harina de subproductos de pollo; Harina de gluten de maíz</t>
  </si>
  <si>
    <t>Maíz; Trigo; Celulosa</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</si>
  <si>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</si>
  <si>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</si>
  <si>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</si>
  <si>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</si>
  <si>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</si>
  <si>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</si>
  <si>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</si>
  <si>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</si>
  <si>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</si>
  <si>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</si>
  <si>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</si>
  <si>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</si>
  <si>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</si>
  <si>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</si>
  <si>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</si>
  <si>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</si>
  <si>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</si>
  <si>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</si>
  <si>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</si>
  <si>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</si>
  <si>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</si>
  <si>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</si>
  <si>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</si>
  <si>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</si>
  <si>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</si>
  <si>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</si>
  <si>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</si>
  <si>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</si>
  <si>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</si>
  <si>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</si>
  <si>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</si>
  <si>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</si>
  <si>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</si>
  <si>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</si>
  <si>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</si>
  <si>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</si>
  <si>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</si>
  <si>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Diamond Pet Foods</t>
  </si>
  <si>
    <t xml:space="preserve">Adulto </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</si>
  <si>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</si>
  <si>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</si>
  <si>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</si>
  <si>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</si>
  <si>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Grasa animal; Aceite de pescado</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</si>
  <si>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</si>
  <si>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</si>
  <si>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</si>
  <si>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</si>
  <si>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</si>
  <si>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</si>
  <si>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</si>
  <si>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</si>
  <si>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</si>
  <si>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</si>
  <si>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</si>
  <si>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</si>
  <si>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</si>
  <si>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</si>
  <si>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</si>
  <si>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</si>
  <si>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</si>
  <si>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</si>
  <si>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</si>
  <si>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</si>
  <si>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</si>
  <si>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</si>
  <si>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 xml:space="preserve">Adultos Diabetic </t>
  </si>
  <si>
    <t>Adulto Hairball</t>
  </si>
  <si>
    <t>Pro Plan Reduced Calorie</t>
  </si>
  <si>
    <t xml:space="preserve">Pro Plan </t>
  </si>
  <si>
    <t xml:space="preserve">Nestlé Purina </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</si>
  <si>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</si>
  <si>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</si>
  <si>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</si>
  <si>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</si>
  <si>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</si>
  <si>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</si>
  <si>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</si>
  <si>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</si>
  <si>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</si>
  <si>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</si>
  <si>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</si>
  <si>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</si>
  <si>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</si>
  <si>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</si>
  <si>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</si>
  <si>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</si>
  <si>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</si>
  <si>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</si>
  <si>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</si>
  <si>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</si>
  <si>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</si>
  <si>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</si>
  <si>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</si>
  <si>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</si>
  <si>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</si>
  <si>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</si>
  <si>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</si>
  <si>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</si>
  <si>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</si>
  <si>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</si>
  <si>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</si>
  <si>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</si>
  <si>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</si>
  <si>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</si>
  <si>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</si>
  <si>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</si>
  <si>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</si>
  <si>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</si>
  <si>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</si>
  <si>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</si>
  <si>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Adultos Urinary</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</si>
  <si>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</si>
  <si>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</si>
  <si>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</si>
  <si>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</si>
  <si>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</si>
  <si>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</si>
  <si>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Harina de pollo; Harina de vísceras; Soya y derivados</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</si>
  <si>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</si>
  <si>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</si>
  <si>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</si>
  <si>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</si>
  <si>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</si>
  <si>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Italcol</t>
  </si>
  <si>
    <t>ME_manufacturer_kcal_kg</t>
  </si>
  <si>
    <t>manufacturer_g_day_dog_10kg</t>
  </si>
  <si>
    <t>Ownat Cordero Adulto  Grain Free</t>
  </si>
  <si>
    <t>Nutri Balance</t>
  </si>
  <si>
    <t>Procan.png</t>
  </si>
  <si>
    <t>NutriBalance.png</t>
  </si>
  <si>
    <t>ProPlan.png</t>
  </si>
  <si>
    <t>MimaskotRP.png</t>
  </si>
  <si>
    <t>MimaskotRG.png</t>
  </si>
  <si>
    <t>PureNatureRG.png</t>
  </si>
  <si>
    <t>DogChowA.png</t>
  </si>
  <si>
    <t>DogChowMG.png</t>
  </si>
  <si>
    <t>RazzaMG.png</t>
  </si>
  <si>
    <t>Gosbi.png</t>
  </si>
  <si>
    <t>Royal Canin Dermacomfort Mini</t>
  </si>
  <si>
    <t>Pro Pac Large Breed Adult Chicken Meal &amp; Rice</t>
  </si>
  <si>
    <t>package_image</t>
  </si>
  <si>
    <t>Theo.png</t>
  </si>
  <si>
    <t>Avant.png</t>
  </si>
  <si>
    <t>Arquivet-SENSITIVE.png</t>
  </si>
  <si>
    <t>NutraPro.png</t>
  </si>
  <si>
    <t>Cani.png</t>
  </si>
  <si>
    <t>Nutritec.png</t>
  </si>
  <si>
    <t>BalanCAT.png</t>
  </si>
  <si>
    <t>Chiki.png</t>
  </si>
  <si>
    <t>Whiskas.png</t>
  </si>
  <si>
    <t>Michu.png</t>
  </si>
  <si>
    <t>Wellness.png</t>
  </si>
  <si>
    <t>Sanabelle.png</t>
  </si>
  <si>
    <t>TasteOfTheWildPacificStream.png</t>
  </si>
  <si>
    <t>ProPlanReducedCalorie.png</t>
  </si>
  <si>
    <t>ProPlanSensitiveSkin.png</t>
  </si>
  <si>
    <t>SensitiveAdultosBEWIDOG.png</t>
  </si>
  <si>
    <t>SpecialDogExcellence.png</t>
  </si>
  <si>
    <t>EarthbornHolisticWeightControl.png</t>
  </si>
  <si>
    <t>OwnatCorderoAdultoGrainFree.png</t>
  </si>
  <si>
    <t>RoyalCaninDermacomfortMini.png</t>
  </si>
  <si>
    <t>BoschMiniAdult.png</t>
  </si>
  <si>
    <t>Ultimates–BaysideSelect.png</t>
  </si>
  <si>
    <t>Ultimates-MeadowPrime.png</t>
  </si>
  <si>
    <t>AlconDogFood.png</t>
  </si>
  <si>
    <t>BuenCan.png</t>
  </si>
  <si>
    <t>Canisuperpremium.png</t>
  </si>
  <si>
    <t>PalPerro.png</t>
  </si>
  <si>
    <t>ProPacLargeBreedAdultChickenMeal&amp;Rice.png</t>
  </si>
  <si>
    <t>ProPacUltimateLambMeal&amp;Rice.png</t>
  </si>
  <si>
    <t>ChunkyAdulto.png</t>
  </si>
  <si>
    <t>CompaSaboraPollo.png</t>
  </si>
  <si>
    <t>ProCatChowUrinary.png</t>
  </si>
  <si>
    <t>ProCatChowHairball.png</t>
  </si>
  <si>
    <t>ProCatChowSensitive.png</t>
  </si>
  <si>
    <t>RoyalCanin.png</t>
  </si>
  <si>
    <t>TasteoftheWildRockyMountainFeline.png</t>
  </si>
  <si>
    <t>NutritecPremium.png</t>
  </si>
  <si>
    <t>PALGato.png</t>
  </si>
  <si>
    <t>NutraProControlPeso.png</t>
  </si>
  <si>
    <t>AlimentoparagatosMiComisariato.png</t>
  </si>
  <si>
    <t>CatChow.png</t>
  </si>
  <si>
    <t>VitalcanBalancedEquilibrioSaludable.png</t>
  </si>
  <si>
    <t>RoyalCaninFit32.png</t>
  </si>
  <si>
    <t>RoyalcaninSterilised37.png</t>
  </si>
  <si>
    <t>Tasteofthewild.png</t>
  </si>
  <si>
    <t>OwnatClassic+A46:L111.png</t>
  </si>
  <si>
    <t>PremieR®NutriciónClínica.png</t>
  </si>
  <si>
    <t>NutriqueHealthyMaintenance.png</t>
  </si>
  <si>
    <t>RoyalCaninUrinaryS/O.png</t>
  </si>
  <si>
    <t>NutriqueSenior6Large.png</t>
  </si>
  <si>
    <t>RoyalCaninMediumAdult7.png</t>
  </si>
  <si>
    <t>PremieRNutriciónClínicaR.png</t>
  </si>
  <si>
    <t>PremieRNutriciónClínicaH.png</t>
  </si>
  <si>
    <t>MVDietaprescriptaRENAL.png</t>
  </si>
  <si>
    <t>BalanCanA.png</t>
  </si>
  <si>
    <t>NutraProRP.png</t>
  </si>
  <si>
    <t>NutraProRG.png</t>
  </si>
  <si>
    <t>WellnesssuperpremiumRM.png</t>
  </si>
  <si>
    <t>WellnesssuperpremiumRP.png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</si>
</sst>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2" fontId="0" fillId="0" borderId="0" xfId="0" applyNumberFormat="1"/>
    <xf numFmtId="0" fontId="0" fillId="0" borderId="0" xfId="0" applyAlignment="1">
      <alignment horizontal="center"/>
    </xf>
    <xf numFmtId="1" fontId="0" fillId="0" borderId="0" xfId="0" applyNumberFormat="1"/>
    <xf numFmtId="164" fontId="0" fillId="0" borderId="0" xfId="0" applyNumberFormat="1"/>
    <xf numFmtId="0" fontId="0" fillId="0" borderId="0" xfId="0" applyAlignment="1">
      <alignment vertical="center"/>
    </xf>
    <xf numFmtId="0" fontId="0" fillId="0" borderId="0" xfId="0" applyAlignment="1">
      <alignment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C4F93-27C2-41F4-990F-40CEE74D2C49}">
  <dimension ref="A1:X82"/>
  <sheetViews>
    <sheetView tabSelected="1" topLeftCell="A70" zoomScale="85" zoomScaleNormal="85" workbookViewId="0">
      <selection activeCell="A2" sqref="A2:A82"/>
    </sheetView>
  </sheetViews>
  <sheetFormatPr baseColWidth="10" defaultRowHeight="15.05" x14ac:dyDescent="0.3"/>
  <cols>
    <col min="2" max="2" width="35.77734375" customWidth="1"/>
    <col min="3" max="4" width="11.5546875" customWidth="1"/>
    <col min="5" max="5" width="38" customWidth="1"/>
    <col min="6" max="15" width="11.5546875" hidden="1" customWidth="1"/>
    <col min="16" max="17" width="0" hidden="1" customWidth="1"/>
    <col min="18" max="23" width="11.5546875" hidden="1" customWidth="1"/>
    <col min="24" max="24" width="36.88671875" bestFit="1" customWidth="1"/>
  </cols>
  <sheetData>
    <row r="1" spans="1:24"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484</v>
      </c>
      <c r="Q1" t="s">
        <v>485</v>
      </c>
      <c r="R1" s="1" t="s">
        <v>15</v>
      </c>
      <c r="S1" s="2" t="s">
        <v>46</v>
      </c>
      <c r="T1" t="s">
        <v>16</v>
      </c>
      <c r="U1" t="s">
        <v>17</v>
      </c>
      <c r="V1" t="s">
        <v>18</v>
      </c>
      <c r="W1" t="s">
        <v>19</v>
      </c>
      <c r="X1" t="s">
        <v>500</v>
      </c>
    </row>
    <row r="2" spans="1:24" x14ac:dyDescent="0.3">
      <c r="A2">
        <v>1</v>
      </c>
      <c r="B2" t="s">
        <v>28</v>
      </c>
      <c r="C2" t="s">
        <v>29</v>
      </c>
      <c r="D2" t="s">
        <v>76</v>
      </c>
      <c r="E2" t="s">
        <v>77</v>
      </c>
      <c r="F2" s="4">
        <v>22</v>
      </c>
      <c r="G2" s="4">
        <v>7</v>
      </c>
      <c r="H2" s="4">
        <v>7</v>
      </c>
      <c r="I2" s="4">
        <v>12</v>
      </c>
      <c r="J2" s="4">
        <v>5</v>
      </c>
      <c r="K2" s="3">
        <f t="shared" ref="K2:K43" si="0">100-(F2+G2+H2+I2+J2)</f>
        <v>47</v>
      </c>
      <c r="L2" s="3">
        <f t="shared" ref="L2:L43" si="1">(100*J2)/(100-I2)</f>
        <v>5.6818181818181817</v>
      </c>
      <c r="M2" s="3">
        <f t="shared" ref="M2:M43" si="2">(5.7*F2)+(9.4*G2)+(4.1*(K2+J2))</f>
        <v>404.4</v>
      </c>
      <c r="N2" s="3">
        <f t="shared" ref="N2:N43" si="3">((91.2-(1.43*L2))*M2)/100</f>
        <v>335.95529999999997</v>
      </c>
      <c r="O2" s="3">
        <f t="shared" ref="O2:O43" si="4">N2-(1.04*F2)</f>
        <v>313.07529999999997</v>
      </c>
      <c r="P2" s="3"/>
      <c r="Q2" s="3">
        <v>160</v>
      </c>
      <c r="R2" s="3">
        <v>0</v>
      </c>
      <c r="S2" s="5" t="s">
        <v>78</v>
      </c>
      <c r="T2" s="5" t="s">
        <v>79</v>
      </c>
      <c r="U2" s="5" t="s">
        <v>53</v>
      </c>
      <c r="V2" s="5" t="s">
        <v>66</v>
      </c>
      <c r="W2" s="5" t="s">
        <v>67</v>
      </c>
      <c r="X2" s="5" t="s">
        <v>488</v>
      </c>
    </row>
    <row r="3" spans="1:24" x14ac:dyDescent="0.3">
      <c r="A3">
        <v>2</v>
      </c>
      <c r="B3" t="s">
        <v>487</v>
      </c>
      <c r="C3" t="s">
        <v>80</v>
      </c>
      <c r="D3" t="s">
        <v>76</v>
      </c>
      <c r="E3" t="s">
        <v>81</v>
      </c>
      <c r="F3" s="4">
        <v>26</v>
      </c>
      <c r="G3" s="4">
        <v>11</v>
      </c>
      <c r="H3" s="4">
        <v>5</v>
      </c>
      <c r="I3" s="4">
        <v>12</v>
      </c>
      <c r="J3" s="4">
        <v>3.5</v>
      </c>
      <c r="K3" s="3">
        <f t="shared" si="0"/>
        <v>42.5</v>
      </c>
      <c r="L3" s="3">
        <f t="shared" si="1"/>
        <v>3.9772727272727271</v>
      </c>
      <c r="M3" s="3">
        <f t="shared" si="2"/>
        <v>440.20000000000005</v>
      </c>
      <c r="N3" s="3">
        <f t="shared" si="3"/>
        <v>376.4260250000001</v>
      </c>
      <c r="O3" s="3">
        <f t="shared" si="4"/>
        <v>349.38602500000007</v>
      </c>
      <c r="P3" s="3">
        <v>3600</v>
      </c>
      <c r="Q3" s="3">
        <v>148</v>
      </c>
      <c r="R3" s="3">
        <v>0</v>
      </c>
      <c r="S3" s="5" t="s">
        <v>82</v>
      </c>
      <c r="T3" s="5" t="s">
        <v>83</v>
      </c>
      <c r="U3" s="5" t="s">
        <v>84</v>
      </c>
      <c r="V3" s="5" t="s">
        <v>85</v>
      </c>
      <c r="W3" s="5" t="s">
        <v>50</v>
      </c>
      <c r="X3" s="5" t="s">
        <v>489</v>
      </c>
    </row>
    <row r="4" spans="1:24" x14ac:dyDescent="0.3">
      <c r="A4">
        <v>3</v>
      </c>
      <c r="B4" t="s">
        <v>86</v>
      </c>
      <c r="C4" t="s">
        <v>87</v>
      </c>
      <c r="D4" t="s">
        <v>76</v>
      </c>
      <c r="E4" t="s">
        <v>88</v>
      </c>
      <c r="F4" s="4">
        <v>26</v>
      </c>
      <c r="G4" s="4">
        <v>8</v>
      </c>
      <c r="H4" s="4">
        <v>8.5</v>
      </c>
      <c r="I4" s="4">
        <v>12</v>
      </c>
      <c r="J4" s="4">
        <v>16</v>
      </c>
      <c r="K4" s="3">
        <f t="shared" si="0"/>
        <v>29.5</v>
      </c>
      <c r="L4" s="3">
        <f t="shared" si="1"/>
        <v>18.181818181818183</v>
      </c>
      <c r="M4" s="3">
        <f t="shared" si="2"/>
        <v>409.95000000000005</v>
      </c>
      <c r="N4" s="3">
        <f t="shared" si="3"/>
        <v>267.28740000000005</v>
      </c>
      <c r="O4" s="3">
        <f t="shared" si="4"/>
        <v>240.24740000000006</v>
      </c>
      <c r="P4" s="3">
        <v>3150</v>
      </c>
      <c r="Q4" s="3">
        <v>200</v>
      </c>
      <c r="R4" s="3">
        <v>0</v>
      </c>
      <c r="S4" s="5" t="s">
        <v>89</v>
      </c>
      <c r="T4" s="5" t="s">
        <v>90</v>
      </c>
      <c r="U4" s="5" t="s">
        <v>21</v>
      </c>
      <c r="V4" s="5" t="s">
        <v>91</v>
      </c>
      <c r="W4" s="5" t="s">
        <v>92</v>
      </c>
      <c r="X4" s="5" t="s">
        <v>490</v>
      </c>
    </row>
    <row r="5" spans="1:24" x14ac:dyDescent="0.3">
      <c r="A5">
        <v>4</v>
      </c>
      <c r="B5" t="s">
        <v>42</v>
      </c>
      <c r="C5" t="s">
        <v>43</v>
      </c>
      <c r="D5" t="s">
        <v>76</v>
      </c>
      <c r="E5" t="s">
        <v>93</v>
      </c>
      <c r="F5" s="4">
        <v>20</v>
      </c>
      <c r="G5" s="4">
        <v>9</v>
      </c>
      <c r="H5" s="4">
        <v>8</v>
      </c>
      <c r="I5" s="4">
        <v>12</v>
      </c>
      <c r="J5" s="4">
        <v>3.5</v>
      </c>
      <c r="K5" s="3">
        <f t="shared" si="0"/>
        <v>47.5</v>
      </c>
      <c r="L5" s="3">
        <f t="shared" si="1"/>
        <v>3.9772727272727271</v>
      </c>
      <c r="M5" s="3">
        <f t="shared" si="2"/>
        <v>407.70000000000005</v>
      </c>
      <c r="N5" s="3">
        <f t="shared" si="3"/>
        <v>348.6344625000001</v>
      </c>
      <c r="O5" s="3">
        <f t="shared" si="4"/>
        <v>327.83446250000009</v>
      </c>
      <c r="P5" s="3"/>
      <c r="Q5" s="3">
        <v>150</v>
      </c>
      <c r="R5" s="3">
        <v>0</v>
      </c>
      <c r="S5" s="5" t="s">
        <v>94</v>
      </c>
      <c r="T5" s="5" t="s">
        <v>95</v>
      </c>
      <c r="U5" s="5" t="s">
        <v>96</v>
      </c>
      <c r="V5" s="5" t="s">
        <v>97</v>
      </c>
      <c r="W5" s="5" t="s">
        <v>98</v>
      </c>
      <c r="X5" s="5" t="s">
        <v>491</v>
      </c>
    </row>
    <row r="6" spans="1:24" x14ac:dyDescent="0.3">
      <c r="A6">
        <v>5</v>
      </c>
      <c r="B6" t="s">
        <v>42</v>
      </c>
      <c r="C6" t="s">
        <v>43</v>
      </c>
      <c r="D6" t="s">
        <v>76</v>
      </c>
      <c r="E6" t="s">
        <v>99</v>
      </c>
      <c r="F6" s="4">
        <v>20</v>
      </c>
      <c r="G6" s="4">
        <v>9</v>
      </c>
      <c r="H6" s="4">
        <v>8</v>
      </c>
      <c r="I6" s="4">
        <v>12</v>
      </c>
      <c r="J6" s="4">
        <v>3.5</v>
      </c>
      <c r="K6" s="3">
        <f t="shared" si="0"/>
        <v>47.5</v>
      </c>
      <c r="L6" s="3">
        <f t="shared" si="1"/>
        <v>3.9772727272727271</v>
      </c>
      <c r="M6" s="3">
        <f t="shared" si="2"/>
        <v>407.70000000000005</v>
      </c>
      <c r="N6" s="3">
        <f t="shared" si="3"/>
        <v>348.6344625000001</v>
      </c>
      <c r="O6" s="3">
        <f t="shared" si="4"/>
        <v>327.83446250000009</v>
      </c>
      <c r="P6" s="3"/>
      <c r="Q6" s="3">
        <v>275</v>
      </c>
      <c r="R6" s="3">
        <v>0</v>
      </c>
      <c r="S6" s="5" t="s">
        <v>100</v>
      </c>
      <c r="T6" s="5" t="s">
        <v>101</v>
      </c>
      <c r="U6" s="5" t="s">
        <v>96</v>
      </c>
      <c r="V6" s="5" t="s">
        <v>97</v>
      </c>
      <c r="W6" s="5" t="s">
        <v>98</v>
      </c>
      <c r="X6" s="5" t="s">
        <v>492</v>
      </c>
    </row>
    <row r="7" spans="1:24" x14ac:dyDescent="0.3">
      <c r="A7">
        <v>6</v>
      </c>
      <c r="B7" t="s">
        <v>102</v>
      </c>
      <c r="C7" t="s">
        <v>314</v>
      </c>
      <c r="D7" t="s">
        <v>76</v>
      </c>
      <c r="E7" t="s">
        <v>99</v>
      </c>
      <c r="F7" s="4">
        <v>21</v>
      </c>
      <c r="G7" s="4">
        <v>7</v>
      </c>
      <c r="H7" s="4">
        <v>10</v>
      </c>
      <c r="I7" s="4">
        <v>12</v>
      </c>
      <c r="J7" s="4">
        <v>5</v>
      </c>
      <c r="K7" s="3">
        <f t="shared" si="0"/>
        <v>45</v>
      </c>
      <c r="L7" s="3">
        <f t="shared" si="1"/>
        <v>5.6818181818181817</v>
      </c>
      <c r="M7" s="3">
        <f t="shared" si="2"/>
        <v>390.5</v>
      </c>
      <c r="N7" s="3">
        <f t="shared" si="3"/>
        <v>324.40787500000005</v>
      </c>
      <c r="O7" s="3">
        <f t="shared" si="4"/>
        <v>302.56787500000007</v>
      </c>
      <c r="P7" s="3"/>
      <c r="Q7" s="3">
        <v>210</v>
      </c>
      <c r="R7" s="3">
        <v>0</v>
      </c>
      <c r="S7" s="5" t="s">
        <v>103</v>
      </c>
      <c r="T7" s="5" t="s">
        <v>104</v>
      </c>
      <c r="U7" s="5" t="s">
        <v>105</v>
      </c>
      <c r="V7" s="5" t="s">
        <v>106</v>
      </c>
      <c r="W7" s="5" t="s">
        <v>21</v>
      </c>
      <c r="X7" s="5" t="s">
        <v>493</v>
      </c>
    </row>
    <row r="8" spans="1:24" x14ac:dyDescent="0.3">
      <c r="A8">
        <v>7</v>
      </c>
      <c r="B8" t="s">
        <v>107</v>
      </c>
      <c r="C8" t="s">
        <v>37</v>
      </c>
      <c r="D8" t="s">
        <v>76</v>
      </c>
      <c r="E8" t="s">
        <v>108</v>
      </c>
      <c r="F8" s="4">
        <v>24</v>
      </c>
      <c r="G8" s="4">
        <v>8</v>
      </c>
      <c r="H8" s="4">
        <v>9</v>
      </c>
      <c r="I8" s="4">
        <v>12</v>
      </c>
      <c r="J8" s="4">
        <v>9</v>
      </c>
      <c r="K8" s="3">
        <f t="shared" si="0"/>
        <v>38</v>
      </c>
      <c r="L8" s="3">
        <f t="shared" si="1"/>
        <v>10.227272727272727</v>
      </c>
      <c r="M8" s="3">
        <f t="shared" si="2"/>
        <v>404.7</v>
      </c>
      <c r="N8" s="3">
        <f t="shared" si="3"/>
        <v>309.89902499999999</v>
      </c>
      <c r="O8" s="3">
        <f t="shared" si="4"/>
        <v>284.93902500000002</v>
      </c>
      <c r="P8" s="3">
        <v>3150</v>
      </c>
      <c r="Q8" s="3">
        <v>200</v>
      </c>
      <c r="R8" s="3">
        <v>0</v>
      </c>
      <c r="S8" s="5" t="s">
        <v>109</v>
      </c>
      <c r="T8" s="5" t="s">
        <v>110</v>
      </c>
      <c r="U8" s="5" t="s">
        <v>111</v>
      </c>
      <c r="V8" s="5" t="s">
        <v>112</v>
      </c>
      <c r="W8" s="5" t="s">
        <v>58</v>
      </c>
      <c r="X8" s="5" t="s">
        <v>494</v>
      </c>
    </row>
    <row r="9" spans="1:24" x14ac:dyDescent="0.3">
      <c r="A9">
        <v>8</v>
      </c>
      <c r="B9" t="s">
        <v>107</v>
      </c>
      <c r="C9" t="s">
        <v>37</v>
      </c>
      <c r="D9" t="s">
        <v>76</v>
      </c>
      <c r="E9" t="s">
        <v>113</v>
      </c>
      <c r="F9" s="4">
        <v>21</v>
      </c>
      <c r="G9" s="4">
        <v>10</v>
      </c>
      <c r="H9" s="4">
        <v>9</v>
      </c>
      <c r="I9" s="4">
        <v>12</v>
      </c>
      <c r="J9" s="4">
        <v>4</v>
      </c>
      <c r="K9" s="3">
        <f t="shared" si="0"/>
        <v>44</v>
      </c>
      <c r="L9" s="3">
        <f t="shared" si="1"/>
        <v>4.5454545454545459</v>
      </c>
      <c r="M9" s="3">
        <f t="shared" si="2"/>
        <v>410.5</v>
      </c>
      <c r="N9" s="3">
        <f t="shared" si="3"/>
        <v>347.69349999999997</v>
      </c>
      <c r="O9" s="3">
        <f t="shared" si="4"/>
        <v>325.8535</v>
      </c>
      <c r="P9" s="3">
        <v>3600</v>
      </c>
      <c r="Q9" s="3">
        <v>180</v>
      </c>
      <c r="R9" s="3">
        <v>0</v>
      </c>
      <c r="S9" s="5" t="s">
        <v>114</v>
      </c>
      <c r="T9" s="5" t="s">
        <v>115</v>
      </c>
      <c r="U9" s="5" t="s">
        <v>111</v>
      </c>
      <c r="V9" s="5" t="s">
        <v>116</v>
      </c>
      <c r="W9" s="5" t="s">
        <v>117</v>
      </c>
      <c r="X9" t="s">
        <v>495</v>
      </c>
    </row>
    <row r="10" spans="1:24" x14ac:dyDescent="0.3">
      <c r="A10">
        <v>9</v>
      </c>
      <c r="B10" t="s">
        <v>44</v>
      </c>
      <c r="C10" t="s">
        <v>314</v>
      </c>
      <c r="D10" t="s">
        <v>76</v>
      </c>
      <c r="E10" t="s">
        <v>99</v>
      </c>
      <c r="F10" s="4">
        <v>21</v>
      </c>
      <c r="G10" s="4">
        <v>7</v>
      </c>
      <c r="H10" s="4">
        <v>10</v>
      </c>
      <c r="I10" s="4">
        <v>10</v>
      </c>
      <c r="J10" s="4">
        <v>4</v>
      </c>
      <c r="K10" s="3">
        <f t="shared" si="0"/>
        <v>48</v>
      </c>
      <c r="L10" s="3">
        <f t="shared" si="1"/>
        <v>4.4444444444444446</v>
      </c>
      <c r="M10" s="3">
        <f t="shared" si="2"/>
        <v>398.7</v>
      </c>
      <c r="N10" s="3">
        <f t="shared" si="3"/>
        <v>338.27480000000003</v>
      </c>
      <c r="O10" s="3">
        <f t="shared" si="4"/>
        <v>316.43480000000005</v>
      </c>
      <c r="P10" s="3"/>
      <c r="Q10" s="3">
        <v>197</v>
      </c>
      <c r="R10" s="3">
        <v>0</v>
      </c>
      <c r="S10" s="5" t="s">
        <v>118</v>
      </c>
      <c r="T10" s="5" t="s">
        <v>119</v>
      </c>
      <c r="U10" s="5" t="s">
        <v>21</v>
      </c>
      <c r="V10" s="5" t="s">
        <v>120</v>
      </c>
      <c r="W10" s="5" t="s">
        <v>21</v>
      </c>
      <c r="X10" t="s">
        <v>496</v>
      </c>
    </row>
    <row r="11" spans="1:24" x14ac:dyDescent="0.3">
      <c r="A11">
        <v>10</v>
      </c>
      <c r="B11" t="s">
        <v>121</v>
      </c>
      <c r="C11" t="s">
        <v>26</v>
      </c>
      <c r="D11" t="s">
        <v>76</v>
      </c>
      <c r="E11" t="s">
        <v>122</v>
      </c>
      <c r="F11" s="4">
        <v>28</v>
      </c>
      <c r="G11" s="4">
        <v>17</v>
      </c>
      <c r="H11" s="4">
        <v>6.9</v>
      </c>
      <c r="I11" s="4">
        <v>8</v>
      </c>
      <c r="J11" s="4">
        <v>2.1</v>
      </c>
      <c r="K11" s="3">
        <f t="shared" si="0"/>
        <v>38</v>
      </c>
      <c r="L11" s="3">
        <f t="shared" si="1"/>
        <v>2.2826086956521738</v>
      </c>
      <c r="M11" s="3">
        <f t="shared" si="2"/>
        <v>483.80999999999995</v>
      </c>
      <c r="N11" s="3">
        <f t="shared" si="3"/>
        <v>425.4425305434782</v>
      </c>
      <c r="O11" s="3">
        <f t="shared" si="4"/>
        <v>396.32253054347819</v>
      </c>
      <c r="P11" s="3"/>
      <c r="Q11" s="3">
        <v>146</v>
      </c>
      <c r="R11" s="3">
        <v>0</v>
      </c>
      <c r="S11" s="5" t="s">
        <v>123</v>
      </c>
      <c r="T11" s="5" t="s">
        <v>124</v>
      </c>
      <c r="U11" s="5" t="s">
        <v>51</v>
      </c>
      <c r="V11" s="5" t="s">
        <v>125</v>
      </c>
      <c r="W11" s="5" t="s">
        <v>21</v>
      </c>
      <c r="X11" s="5" t="s">
        <v>497</v>
      </c>
    </row>
    <row r="12" spans="1:24" x14ac:dyDescent="0.3">
      <c r="A12">
        <v>11</v>
      </c>
      <c r="B12" t="s">
        <v>126</v>
      </c>
      <c r="C12" t="s">
        <v>127</v>
      </c>
      <c r="D12" t="s">
        <v>76</v>
      </c>
      <c r="E12" t="s">
        <v>128</v>
      </c>
      <c r="F12" s="4">
        <v>21</v>
      </c>
      <c r="G12" s="4">
        <v>7</v>
      </c>
      <c r="H12" s="4">
        <v>10</v>
      </c>
      <c r="I12" s="4">
        <v>10</v>
      </c>
      <c r="J12" s="4">
        <v>4</v>
      </c>
      <c r="K12" s="3">
        <f t="shared" si="0"/>
        <v>48</v>
      </c>
      <c r="L12" s="3">
        <f t="shared" si="1"/>
        <v>4.4444444444444446</v>
      </c>
      <c r="M12" s="3">
        <f t="shared" si="2"/>
        <v>398.7</v>
      </c>
      <c r="N12" s="3">
        <f t="shared" si="3"/>
        <v>338.27480000000003</v>
      </c>
      <c r="O12" s="3">
        <f t="shared" si="4"/>
        <v>316.43480000000005</v>
      </c>
      <c r="P12" s="3"/>
      <c r="Q12" s="3">
        <v>160</v>
      </c>
      <c r="R12" s="3">
        <v>0</v>
      </c>
      <c r="S12" s="5" t="s">
        <v>129</v>
      </c>
      <c r="T12" s="5" t="s">
        <v>130</v>
      </c>
      <c r="U12" s="5" t="s">
        <v>47</v>
      </c>
      <c r="V12" s="5" t="s">
        <v>131</v>
      </c>
      <c r="W12" s="5" t="s">
        <v>21</v>
      </c>
      <c r="X12" s="5" t="s">
        <v>501</v>
      </c>
    </row>
    <row r="13" spans="1:24" x14ac:dyDescent="0.3">
      <c r="A13">
        <v>12</v>
      </c>
      <c r="B13" t="s">
        <v>164</v>
      </c>
      <c r="C13" t="s">
        <v>29</v>
      </c>
      <c r="D13" t="s">
        <v>76</v>
      </c>
      <c r="E13" t="s">
        <v>170</v>
      </c>
      <c r="F13" s="4">
        <v>30</v>
      </c>
      <c r="G13" s="4">
        <v>15</v>
      </c>
      <c r="H13" s="4">
        <v>8</v>
      </c>
      <c r="I13" s="4">
        <v>12</v>
      </c>
      <c r="J13" s="4">
        <v>16</v>
      </c>
      <c r="K13" s="3">
        <f t="shared" si="0"/>
        <v>19</v>
      </c>
      <c r="L13" s="3">
        <f t="shared" si="1"/>
        <v>18.181818181818183</v>
      </c>
      <c r="M13" s="3">
        <f t="shared" si="2"/>
        <v>455.5</v>
      </c>
      <c r="N13" s="3">
        <f t="shared" si="3"/>
        <v>296.98600000000005</v>
      </c>
      <c r="O13" s="3">
        <f t="shared" si="4"/>
        <v>265.78600000000006</v>
      </c>
      <c r="P13" s="3"/>
      <c r="Q13" s="3">
        <v>185</v>
      </c>
      <c r="R13" s="3">
        <v>0</v>
      </c>
      <c r="S13" s="5" t="s">
        <v>165</v>
      </c>
      <c r="T13" s="5" t="s">
        <v>166</v>
      </c>
      <c r="U13" s="5" t="s">
        <v>167</v>
      </c>
      <c r="V13" s="5" t="s">
        <v>168</v>
      </c>
      <c r="W13" s="5" t="s">
        <v>169</v>
      </c>
      <c r="X13" s="5" t="s">
        <v>502</v>
      </c>
    </row>
    <row r="14" spans="1:24" x14ac:dyDescent="0.3">
      <c r="A14">
        <v>13</v>
      </c>
      <c r="B14" t="s">
        <v>171</v>
      </c>
      <c r="C14" t="s">
        <v>172</v>
      </c>
      <c r="D14" t="s">
        <v>76</v>
      </c>
      <c r="E14" t="s">
        <v>173</v>
      </c>
      <c r="F14" s="4">
        <v>25</v>
      </c>
      <c r="G14" s="4">
        <v>15</v>
      </c>
      <c r="H14" s="4">
        <v>8.9</v>
      </c>
      <c r="I14" s="4">
        <v>10</v>
      </c>
      <c r="J14" s="4">
        <v>3</v>
      </c>
      <c r="K14" s="3">
        <f t="shared" si="0"/>
        <v>38.1</v>
      </c>
      <c r="L14" s="3">
        <f t="shared" si="1"/>
        <v>3.3333333333333335</v>
      </c>
      <c r="M14" s="3">
        <f t="shared" si="2"/>
        <v>452.01</v>
      </c>
      <c r="N14" s="3">
        <f t="shared" si="3"/>
        <v>390.68731000000002</v>
      </c>
      <c r="O14" s="3">
        <f t="shared" si="4"/>
        <v>364.68731000000002</v>
      </c>
      <c r="P14" s="3">
        <v>3600</v>
      </c>
      <c r="Q14" s="3">
        <v>185</v>
      </c>
      <c r="R14" s="3">
        <v>0</v>
      </c>
      <c r="S14" s="5" t="s">
        <v>174</v>
      </c>
      <c r="T14" s="5" t="s">
        <v>175</v>
      </c>
      <c r="U14" s="5" t="s">
        <v>75</v>
      </c>
      <c r="V14" s="5" t="s">
        <v>176</v>
      </c>
      <c r="W14" s="5" t="s">
        <v>21</v>
      </c>
      <c r="X14" s="5" t="s">
        <v>513</v>
      </c>
    </row>
    <row r="15" spans="1:24" x14ac:dyDescent="0.3">
      <c r="A15">
        <v>14</v>
      </c>
      <c r="B15" t="s">
        <v>427</v>
      </c>
      <c r="C15" t="s">
        <v>87</v>
      </c>
      <c r="D15" t="s">
        <v>76</v>
      </c>
      <c r="E15" t="s">
        <v>177</v>
      </c>
      <c r="F15" s="4">
        <v>26</v>
      </c>
      <c r="G15" s="4">
        <v>8</v>
      </c>
      <c r="H15" s="4">
        <v>8.5</v>
      </c>
      <c r="I15" s="4">
        <v>12</v>
      </c>
      <c r="J15" s="4">
        <v>16</v>
      </c>
      <c r="K15" s="3">
        <f t="shared" si="0"/>
        <v>29.5</v>
      </c>
      <c r="L15" s="3">
        <f t="shared" si="1"/>
        <v>18.181818181818183</v>
      </c>
      <c r="M15" s="3">
        <f t="shared" si="2"/>
        <v>409.95000000000005</v>
      </c>
      <c r="N15" s="3">
        <f t="shared" si="3"/>
        <v>267.28740000000005</v>
      </c>
      <c r="O15" s="3">
        <f t="shared" si="4"/>
        <v>240.24740000000006</v>
      </c>
      <c r="P15" s="3">
        <v>3150</v>
      </c>
      <c r="Q15" s="3">
        <v>200</v>
      </c>
      <c r="R15" s="3">
        <v>0</v>
      </c>
      <c r="S15" s="5" t="s">
        <v>178</v>
      </c>
      <c r="T15" s="5" t="s">
        <v>90</v>
      </c>
      <c r="U15" s="5" t="s">
        <v>21</v>
      </c>
      <c r="V15" s="5" t="s">
        <v>179</v>
      </c>
      <c r="W15" s="5" t="s">
        <v>92</v>
      </c>
      <c r="X15" s="5" t="s">
        <v>514</v>
      </c>
    </row>
    <row r="16" spans="1:24" x14ac:dyDescent="0.3">
      <c r="A16">
        <v>15</v>
      </c>
      <c r="B16" t="s">
        <v>180</v>
      </c>
      <c r="C16" t="s">
        <v>87</v>
      </c>
      <c r="D16" t="s">
        <v>76</v>
      </c>
      <c r="E16" t="s">
        <v>181</v>
      </c>
      <c r="F16" s="4">
        <v>29</v>
      </c>
      <c r="G16" s="4">
        <v>17</v>
      </c>
      <c r="H16" s="4">
        <v>9</v>
      </c>
      <c r="I16" s="4">
        <v>12</v>
      </c>
      <c r="J16" s="4">
        <v>3.5</v>
      </c>
      <c r="K16" s="3">
        <f t="shared" si="0"/>
        <v>29.5</v>
      </c>
      <c r="L16" s="3">
        <f t="shared" si="1"/>
        <v>3.9772727272727271</v>
      </c>
      <c r="M16" s="3">
        <f t="shared" si="2"/>
        <v>460.4</v>
      </c>
      <c r="N16" s="3">
        <f t="shared" si="3"/>
        <v>393.69955000000004</v>
      </c>
      <c r="O16" s="3">
        <f t="shared" si="4"/>
        <v>363.53955000000002</v>
      </c>
      <c r="P16" s="3">
        <v>4100</v>
      </c>
      <c r="Q16" s="3">
        <v>160</v>
      </c>
      <c r="R16" s="3">
        <v>0</v>
      </c>
      <c r="S16" s="5" t="s">
        <v>182</v>
      </c>
      <c r="T16" s="5" t="s">
        <v>183</v>
      </c>
      <c r="U16" s="5" t="s">
        <v>65</v>
      </c>
      <c r="V16" s="5" t="s">
        <v>61</v>
      </c>
      <c r="W16" s="5" t="s">
        <v>184</v>
      </c>
      <c r="X16" s="5" t="s">
        <v>515</v>
      </c>
    </row>
    <row r="17" spans="1:24" x14ac:dyDescent="0.3">
      <c r="A17">
        <v>16</v>
      </c>
      <c r="B17" t="s">
        <v>185</v>
      </c>
      <c r="C17" t="s">
        <v>186</v>
      </c>
      <c r="D17" t="s">
        <v>76</v>
      </c>
      <c r="E17" t="s">
        <v>187</v>
      </c>
      <c r="F17" s="4">
        <v>22</v>
      </c>
      <c r="G17" s="4">
        <v>11.5</v>
      </c>
      <c r="H17" s="4">
        <v>7</v>
      </c>
      <c r="I17" s="4">
        <v>10</v>
      </c>
      <c r="J17" s="4">
        <v>3</v>
      </c>
      <c r="K17" s="3">
        <f t="shared" si="0"/>
        <v>46.5</v>
      </c>
      <c r="L17" s="3">
        <f t="shared" si="1"/>
        <v>3.3333333333333335</v>
      </c>
      <c r="M17" s="3">
        <f t="shared" si="2"/>
        <v>436.45</v>
      </c>
      <c r="N17" s="3">
        <f t="shared" si="3"/>
        <v>377.2382833333333</v>
      </c>
      <c r="O17" s="3">
        <f t="shared" si="4"/>
        <v>354.3582833333333</v>
      </c>
      <c r="P17" s="3"/>
      <c r="Q17" s="3">
        <v>150</v>
      </c>
      <c r="R17" s="3">
        <v>0</v>
      </c>
      <c r="S17" s="5" t="s">
        <v>188</v>
      </c>
      <c r="T17" s="5" t="s">
        <v>189</v>
      </c>
      <c r="U17" s="5" t="s">
        <v>190</v>
      </c>
      <c r="V17" s="5" t="s">
        <v>191</v>
      </c>
      <c r="W17" s="5" t="s">
        <v>55</v>
      </c>
      <c r="X17" s="5" t="s">
        <v>516</v>
      </c>
    </row>
    <row r="18" spans="1:24" x14ac:dyDescent="0.3">
      <c r="A18">
        <v>17</v>
      </c>
      <c r="B18" t="s">
        <v>192</v>
      </c>
      <c r="C18" t="s">
        <v>27</v>
      </c>
      <c r="D18" t="s">
        <v>76</v>
      </c>
      <c r="E18" t="s">
        <v>128</v>
      </c>
      <c r="F18" s="4">
        <v>28</v>
      </c>
      <c r="G18" s="4">
        <v>18</v>
      </c>
      <c r="H18" s="4">
        <v>7</v>
      </c>
      <c r="I18" s="4">
        <v>10</v>
      </c>
      <c r="J18" s="4">
        <v>1.7</v>
      </c>
      <c r="K18" s="3">
        <f t="shared" si="0"/>
        <v>35.299999999999997</v>
      </c>
      <c r="L18" s="3">
        <f t="shared" si="1"/>
        <v>1.8888888888888888</v>
      </c>
      <c r="M18" s="3">
        <f t="shared" si="2"/>
        <v>480.5</v>
      </c>
      <c r="N18" s="3">
        <f t="shared" si="3"/>
        <v>425.23716111111111</v>
      </c>
      <c r="O18" s="3">
        <f t="shared" si="4"/>
        <v>396.1171611111111</v>
      </c>
      <c r="P18" s="3">
        <v>4232</v>
      </c>
      <c r="Q18" s="3">
        <v>140</v>
      </c>
      <c r="R18" s="3">
        <v>0</v>
      </c>
      <c r="S18" s="5" t="s">
        <v>193</v>
      </c>
      <c r="T18" s="5" t="s">
        <v>194</v>
      </c>
      <c r="U18" s="5" t="s">
        <v>63</v>
      </c>
      <c r="V18" s="5" t="s">
        <v>64</v>
      </c>
      <c r="W18" s="5" t="s">
        <v>62</v>
      </c>
      <c r="X18" s="5" t="s">
        <v>517</v>
      </c>
    </row>
    <row r="19" spans="1:24" x14ac:dyDescent="0.3">
      <c r="A19">
        <v>18</v>
      </c>
      <c r="B19" t="s">
        <v>195</v>
      </c>
      <c r="C19" t="s">
        <v>196</v>
      </c>
      <c r="D19" t="s">
        <v>76</v>
      </c>
      <c r="E19" t="s">
        <v>197</v>
      </c>
      <c r="F19" s="4">
        <v>28</v>
      </c>
      <c r="G19" s="4">
        <v>17</v>
      </c>
      <c r="H19" s="4">
        <v>6.95</v>
      </c>
      <c r="I19" s="4">
        <v>9</v>
      </c>
      <c r="J19" s="4">
        <v>3.4</v>
      </c>
      <c r="K19" s="3">
        <f t="shared" si="0"/>
        <v>35.649999999999991</v>
      </c>
      <c r="L19" s="3">
        <f t="shared" si="1"/>
        <v>3.7362637362637363</v>
      </c>
      <c r="M19" s="3">
        <f t="shared" si="2"/>
        <v>479.50499999999988</v>
      </c>
      <c r="N19" s="3">
        <f t="shared" si="3"/>
        <v>411.68929285714279</v>
      </c>
      <c r="O19" s="3">
        <f t="shared" si="4"/>
        <v>382.56929285714278</v>
      </c>
      <c r="P19" s="3"/>
      <c r="Q19" s="3">
        <v>159</v>
      </c>
      <c r="R19" s="3">
        <v>0</v>
      </c>
      <c r="S19" s="5" t="s">
        <v>198</v>
      </c>
      <c r="T19" s="5" t="s">
        <v>199</v>
      </c>
      <c r="U19" s="5" t="s">
        <v>33</v>
      </c>
      <c r="V19" s="5" t="s">
        <v>200</v>
      </c>
      <c r="W19" s="5" t="s">
        <v>201</v>
      </c>
      <c r="X19" s="5" t="s">
        <v>503</v>
      </c>
    </row>
    <row r="20" spans="1:24" x14ac:dyDescent="0.3">
      <c r="A20">
        <v>19</v>
      </c>
      <c r="B20" t="s">
        <v>180</v>
      </c>
      <c r="C20" t="s">
        <v>87</v>
      </c>
      <c r="D20" t="s">
        <v>76</v>
      </c>
      <c r="E20" t="s">
        <v>202</v>
      </c>
      <c r="F20" s="4">
        <v>26</v>
      </c>
      <c r="G20" s="4">
        <v>15</v>
      </c>
      <c r="H20" s="4">
        <v>8.5</v>
      </c>
      <c r="I20" s="4">
        <v>12</v>
      </c>
      <c r="J20" s="4">
        <v>3.5</v>
      </c>
      <c r="K20" s="3">
        <f t="shared" si="0"/>
        <v>35</v>
      </c>
      <c r="L20" s="3">
        <f t="shared" si="1"/>
        <v>3.9772727272727271</v>
      </c>
      <c r="M20" s="3">
        <f t="shared" si="2"/>
        <v>447.05000000000007</v>
      </c>
      <c r="N20" s="3">
        <f t="shared" si="3"/>
        <v>382.28363125000004</v>
      </c>
      <c r="O20" s="3">
        <f t="shared" si="4"/>
        <v>355.24363125000002</v>
      </c>
      <c r="P20" s="3">
        <v>3980</v>
      </c>
      <c r="Q20" s="3">
        <v>160</v>
      </c>
      <c r="R20" s="3">
        <v>0</v>
      </c>
      <c r="S20" s="5" t="s">
        <v>203</v>
      </c>
      <c r="T20" s="5" t="s">
        <v>183</v>
      </c>
      <c r="U20" s="5" t="s">
        <v>65</v>
      </c>
      <c r="V20" s="5" t="s">
        <v>61</v>
      </c>
      <c r="W20" s="5" t="s">
        <v>92</v>
      </c>
      <c r="X20" s="5" t="s">
        <v>515</v>
      </c>
    </row>
    <row r="21" spans="1:24" x14ac:dyDescent="0.3">
      <c r="A21">
        <v>20</v>
      </c>
      <c r="B21" t="s">
        <v>25</v>
      </c>
      <c r="C21" t="s">
        <v>236</v>
      </c>
      <c r="D21" t="s">
        <v>76</v>
      </c>
      <c r="E21" t="s">
        <v>20</v>
      </c>
      <c r="F21" s="4">
        <v>25</v>
      </c>
      <c r="G21" s="4">
        <v>9</v>
      </c>
      <c r="H21" s="4">
        <v>7</v>
      </c>
      <c r="I21" s="4">
        <v>10</v>
      </c>
      <c r="J21" s="4">
        <v>7.5</v>
      </c>
      <c r="K21" s="3">
        <f t="shared" si="0"/>
        <v>41.5</v>
      </c>
      <c r="L21" s="3">
        <f t="shared" si="1"/>
        <v>8.3333333333333339</v>
      </c>
      <c r="M21" s="3">
        <f t="shared" si="2"/>
        <v>428</v>
      </c>
      <c r="N21" s="3">
        <f t="shared" si="3"/>
        <v>339.33266666666663</v>
      </c>
      <c r="O21" s="3">
        <f t="shared" si="4"/>
        <v>313.33266666666663</v>
      </c>
      <c r="P21" s="3">
        <v>3200</v>
      </c>
      <c r="Q21" s="3">
        <v>113</v>
      </c>
      <c r="R21" s="3">
        <v>0</v>
      </c>
      <c r="S21" s="5" t="s">
        <v>237</v>
      </c>
      <c r="T21" s="5" t="s">
        <v>238</v>
      </c>
      <c r="U21" s="5" t="s">
        <v>239</v>
      </c>
      <c r="V21" s="5" t="s">
        <v>240</v>
      </c>
      <c r="W21" s="5" t="s">
        <v>241</v>
      </c>
      <c r="X21" s="5" t="s">
        <v>518</v>
      </c>
    </row>
    <row r="22" spans="1:24" x14ac:dyDescent="0.3">
      <c r="A22">
        <v>21</v>
      </c>
      <c r="B22" t="s">
        <v>486</v>
      </c>
      <c r="C22" t="s">
        <v>226</v>
      </c>
      <c r="D22" t="s">
        <v>76</v>
      </c>
      <c r="E22" t="s">
        <v>242</v>
      </c>
      <c r="F22" s="4">
        <v>38</v>
      </c>
      <c r="G22" s="4">
        <v>18</v>
      </c>
      <c r="H22" s="4">
        <v>8.5</v>
      </c>
      <c r="I22" s="4">
        <v>8</v>
      </c>
      <c r="J22" s="4">
        <v>2.5</v>
      </c>
      <c r="K22" s="3">
        <f t="shared" si="0"/>
        <v>25</v>
      </c>
      <c r="L22" s="3">
        <f t="shared" si="1"/>
        <v>2.7173913043478262</v>
      </c>
      <c r="M22" s="3">
        <f t="shared" si="2"/>
        <v>498.55</v>
      </c>
      <c r="N22" s="3">
        <f t="shared" si="3"/>
        <v>435.30459728260871</v>
      </c>
      <c r="O22" s="3">
        <f t="shared" si="4"/>
        <v>395.78459728260873</v>
      </c>
      <c r="P22" s="3">
        <v>3750</v>
      </c>
      <c r="Q22" s="3">
        <v>145</v>
      </c>
      <c r="R22" s="3">
        <v>0</v>
      </c>
      <c r="S22" s="5" t="s">
        <v>243</v>
      </c>
      <c r="T22" s="5" t="s">
        <v>244</v>
      </c>
      <c r="U22" s="5" t="s">
        <v>245</v>
      </c>
      <c r="V22" s="5" t="s">
        <v>246</v>
      </c>
      <c r="W22" s="5" t="s">
        <v>21</v>
      </c>
      <c r="X22" s="5" t="s">
        <v>519</v>
      </c>
    </row>
    <row r="23" spans="1:24" x14ac:dyDescent="0.3">
      <c r="A23">
        <v>22</v>
      </c>
      <c r="B23" t="s">
        <v>247</v>
      </c>
      <c r="C23" t="s">
        <v>248</v>
      </c>
      <c r="D23" t="s">
        <v>76</v>
      </c>
      <c r="E23" t="s">
        <v>249</v>
      </c>
      <c r="F23" s="4">
        <v>24</v>
      </c>
      <c r="G23" s="4">
        <v>11</v>
      </c>
      <c r="H23" s="4">
        <v>6.5</v>
      </c>
      <c r="I23" s="4">
        <v>10</v>
      </c>
      <c r="J23" s="4">
        <v>4</v>
      </c>
      <c r="K23" s="3">
        <f t="shared" si="0"/>
        <v>44.5</v>
      </c>
      <c r="L23" s="3">
        <f t="shared" si="1"/>
        <v>4.4444444444444446</v>
      </c>
      <c r="M23" s="3">
        <f t="shared" si="2"/>
        <v>439.05</v>
      </c>
      <c r="N23" s="3">
        <f t="shared" si="3"/>
        <v>372.50953333333337</v>
      </c>
      <c r="O23" s="3">
        <f t="shared" si="4"/>
        <v>347.54953333333339</v>
      </c>
      <c r="P23" s="3">
        <v>3817</v>
      </c>
      <c r="Q23" s="3">
        <v>118</v>
      </c>
      <c r="R23" s="3">
        <v>0</v>
      </c>
      <c r="S23" s="5" t="s">
        <v>250</v>
      </c>
      <c r="T23" s="5" t="s">
        <v>251</v>
      </c>
      <c r="U23" s="5" t="s">
        <v>252</v>
      </c>
      <c r="V23" s="5" t="s">
        <v>253</v>
      </c>
      <c r="W23" s="5" t="s">
        <v>21</v>
      </c>
      <c r="X23" s="5" t="s">
        <v>550</v>
      </c>
    </row>
    <row r="24" spans="1:24" x14ac:dyDescent="0.3">
      <c r="A24">
        <v>23</v>
      </c>
      <c r="B24" t="s">
        <v>254</v>
      </c>
      <c r="C24" t="s">
        <v>30</v>
      </c>
      <c r="D24" t="s">
        <v>76</v>
      </c>
      <c r="E24" t="s">
        <v>255</v>
      </c>
      <c r="F24" s="4">
        <v>25</v>
      </c>
      <c r="G24" s="4">
        <v>14</v>
      </c>
      <c r="H24" s="4">
        <v>5.6</v>
      </c>
      <c r="I24" s="4">
        <v>10</v>
      </c>
      <c r="J24" s="4">
        <v>1.6</v>
      </c>
      <c r="K24" s="3">
        <f t="shared" si="0"/>
        <v>43.8</v>
      </c>
      <c r="L24" s="3">
        <f t="shared" si="1"/>
        <v>1.7777777777777777</v>
      </c>
      <c r="M24" s="3">
        <f t="shared" si="2"/>
        <v>460.24</v>
      </c>
      <c r="N24" s="3">
        <f t="shared" si="3"/>
        <v>408.03855644444445</v>
      </c>
      <c r="O24" s="3">
        <f t="shared" si="4"/>
        <v>382.03855644444445</v>
      </c>
      <c r="P24" s="3">
        <v>3658</v>
      </c>
      <c r="Q24" s="3">
        <v>157</v>
      </c>
      <c r="R24" s="3">
        <v>0</v>
      </c>
      <c r="S24" s="5" t="s">
        <v>256</v>
      </c>
      <c r="T24" s="5" t="s">
        <v>257</v>
      </c>
      <c r="U24" s="5" t="s">
        <v>31</v>
      </c>
      <c r="V24" s="5" t="s">
        <v>258</v>
      </c>
      <c r="W24" s="5" t="s">
        <v>21</v>
      </c>
      <c r="X24" s="5" t="s">
        <v>551</v>
      </c>
    </row>
    <row r="25" spans="1:24" x14ac:dyDescent="0.3">
      <c r="A25">
        <v>24</v>
      </c>
      <c r="B25" t="s">
        <v>498</v>
      </c>
      <c r="C25" t="s">
        <v>32</v>
      </c>
      <c r="D25" t="s">
        <v>76</v>
      </c>
      <c r="E25" t="s">
        <v>259</v>
      </c>
      <c r="F25" s="4">
        <v>25.5</v>
      </c>
      <c r="G25" s="4">
        <v>17</v>
      </c>
      <c r="H25" s="4">
        <v>5.3</v>
      </c>
      <c r="I25" s="4">
        <v>11</v>
      </c>
      <c r="J25" s="4">
        <v>1.4</v>
      </c>
      <c r="K25" s="3">
        <f t="shared" si="0"/>
        <v>39.800000000000004</v>
      </c>
      <c r="L25" s="3">
        <f t="shared" si="1"/>
        <v>1.5730337078651686</v>
      </c>
      <c r="M25" s="3">
        <f t="shared" si="2"/>
        <v>474.06999999999994</v>
      </c>
      <c r="N25" s="3">
        <f t="shared" si="3"/>
        <v>421.68792831460667</v>
      </c>
      <c r="O25" s="3">
        <f t="shared" si="4"/>
        <v>395.16792831460668</v>
      </c>
      <c r="P25" s="3">
        <v>4047</v>
      </c>
      <c r="Q25" s="3">
        <v>133</v>
      </c>
      <c r="R25" s="3">
        <v>0</v>
      </c>
      <c r="S25" s="5" t="s">
        <v>260</v>
      </c>
      <c r="T25" s="5" t="s">
        <v>261</v>
      </c>
      <c r="U25" s="5" t="s">
        <v>262</v>
      </c>
      <c r="V25" s="5" t="s">
        <v>263</v>
      </c>
      <c r="W25" s="5" t="s">
        <v>57</v>
      </c>
      <c r="X25" s="5" t="s">
        <v>520</v>
      </c>
    </row>
    <row r="26" spans="1:24" x14ac:dyDescent="0.3">
      <c r="A26">
        <v>25</v>
      </c>
      <c r="B26" t="s">
        <v>264</v>
      </c>
      <c r="C26" t="s">
        <v>265</v>
      </c>
      <c r="D26" t="s">
        <v>76</v>
      </c>
      <c r="E26" t="s">
        <v>266</v>
      </c>
      <c r="F26" s="4">
        <v>14.5</v>
      </c>
      <c r="G26" s="4">
        <v>18</v>
      </c>
      <c r="H26" s="4">
        <v>5.5</v>
      </c>
      <c r="I26" s="4">
        <v>10</v>
      </c>
      <c r="J26" s="4">
        <v>3.5</v>
      </c>
      <c r="K26" s="3">
        <f t="shared" si="0"/>
        <v>48.5</v>
      </c>
      <c r="L26" s="3">
        <f t="shared" si="1"/>
        <v>3.8888888888888888</v>
      </c>
      <c r="M26" s="3">
        <f t="shared" si="2"/>
        <v>465.05</v>
      </c>
      <c r="N26" s="3">
        <f t="shared" si="3"/>
        <v>398.26365277777774</v>
      </c>
      <c r="O26" s="3">
        <f t="shared" si="4"/>
        <v>383.18365277777775</v>
      </c>
      <c r="P26" s="3">
        <v>4292</v>
      </c>
      <c r="Q26" s="3">
        <v>124</v>
      </c>
      <c r="R26" s="3">
        <v>0</v>
      </c>
      <c r="S26" s="5" t="s">
        <v>267</v>
      </c>
      <c r="T26" s="5" t="s">
        <v>268</v>
      </c>
      <c r="U26" s="5" t="s">
        <v>269</v>
      </c>
      <c r="V26" s="5" t="s">
        <v>270</v>
      </c>
      <c r="W26" s="5" t="s">
        <v>21</v>
      </c>
      <c r="X26" s="5" t="s">
        <v>552</v>
      </c>
    </row>
    <row r="27" spans="1:24" x14ac:dyDescent="0.3">
      <c r="A27">
        <v>26</v>
      </c>
      <c r="B27" t="s">
        <v>264</v>
      </c>
      <c r="C27" t="s">
        <v>265</v>
      </c>
      <c r="D27" t="s">
        <v>76</v>
      </c>
      <c r="E27" t="s">
        <v>271</v>
      </c>
      <c r="F27" s="4">
        <v>22</v>
      </c>
      <c r="G27" s="4">
        <v>16</v>
      </c>
      <c r="H27" s="4">
        <v>7.5</v>
      </c>
      <c r="I27" s="4">
        <v>10</v>
      </c>
      <c r="J27" s="4">
        <v>4</v>
      </c>
      <c r="K27" s="3">
        <f t="shared" si="0"/>
        <v>40.5</v>
      </c>
      <c r="L27" s="3">
        <f t="shared" si="1"/>
        <v>4.4444444444444446</v>
      </c>
      <c r="M27" s="3">
        <f t="shared" si="2"/>
        <v>458.25</v>
      </c>
      <c r="N27" s="3">
        <f t="shared" si="3"/>
        <v>388.79966666666667</v>
      </c>
      <c r="O27" s="3">
        <f t="shared" si="4"/>
        <v>365.91966666666667</v>
      </c>
      <c r="P27" s="3">
        <v>4060</v>
      </c>
      <c r="Q27" s="3">
        <v>132</v>
      </c>
      <c r="R27" s="3">
        <v>0</v>
      </c>
      <c r="S27" s="5" t="s">
        <v>272</v>
      </c>
      <c r="T27" s="5" t="s">
        <v>273</v>
      </c>
      <c r="U27" s="5" t="s">
        <v>269</v>
      </c>
      <c r="V27" s="5" t="s">
        <v>274</v>
      </c>
      <c r="W27" s="5" t="s">
        <v>275</v>
      </c>
      <c r="X27" s="5" t="s">
        <v>553</v>
      </c>
    </row>
    <row r="28" spans="1:24" x14ac:dyDescent="0.3">
      <c r="A28">
        <v>27</v>
      </c>
      <c r="B28" t="s">
        <v>276</v>
      </c>
      <c r="C28" t="s">
        <v>23</v>
      </c>
      <c r="D28" t="s">
        <v>76</v>
      </c>
      <c r="E28" t="s">
        <v>277</v>
      </c>
      <c r="F28" s="4">
        <v>25</v>
      </c>
      <c r="G28" s="4">
        <v>14</v>
      </c>
      <c r="H28" s="4">
        <v>6.5</v>
      </c>
      <c r="I28" s="4">
        <v>10</v>
      </c>
      <c r="J28" s="4">
        <v>2.5</v>
      </c>
      <c r="K28" s="3">
        <f t="shared" si="0"/>
        <v>42</v>
      </c>
      <c r="L28" s="3">
        <f t="shared" si="1"/>
        <v>2.7777777777777777</v>
      </c>
      <c r="M28" s="3">
        <f t="shared" si="2"/>
        <v>456.55</v>
      </c>
      <c r="N28" s="3">
        <f t="shared" si="3"/>
        <v>398.23841944444445</v>
      </c>
      <c r="O28" s="3">
        <f t="shared" si="4"/>
        <v>372.23841944444445</v>
      </c>
      <c r="P28" s="3">
        <v>3800</v>
      </c>
      <c r="Q28" s="3">
        <v>145</v>
      </c>
      <c r="R28" s="3">
        <v>0</v>
      </c>
      <c r="S28" s="5" t="s">
        <v>278</v>
      </c>
      <c r="T28" s="5" t="s">
        <v>279</v>
      </c>
      <c r="U28" s="5" t="s">
        <v>24</v>
      </c>
      <c r="V28" s="5" t="s">
        <v>280</v>
      </c>
      <c r="W28" s="5" t="s">
        <v>21</v>
      </c>
      <c r="X28" s="5" t="s">
        <v>521</v>
      </c>
    </row>
    <row r="29" spans="1:24" x14ac:dyDescent="0.3">
      <c r="A29">
        <v>28</v>
      </c>
      <c r="B29" t="s">
        <v>281</v>
      </c>
      <c r="C29" t="s">
        <v>282</v>
      </c>
      <c r="D29" t="s">
        <v>76</v>
      </c>
      <c r="E29" t="s">
        <v>283</v>
      </c>
      <c r="F29" s="4">
        <v>23</v>
      </c>
      <c r="G29" s="4">
        <v>14</v>
      </c>
      <c r="H29" s="4">
        <v>9</v>
      </c>
      <c r="I29" s="4">
        <v>10</v>
      </c>
      <c r="J29" s="4">
        <v>4</v>
      </c>
      <c r="K29" s="3">
        <f t="shared" si="0"/>
        <v>40</v>
      </c>
      <c r="L29" s="3">
        <f t="shared" si="1"/>
        <v>4.4444444444444446</v>
      </c>
      <c r="M29" s="3">
        <f t="shared" si="2"/>
        <v>443.09999999999997</v>
      </c>
      <c r="N29" s="3">
        <f t="shared" si="3"/>
        <v>375.94573333333335</v>
      </c>
      <c r="O29" s="3">
        <f t="shared" si="4"/>
        <v>352.02573333333333</v>
      </c>
      <c r="P29" s="3">
        <v>3550</v>
      </c>
      <c r="Q29" s="3">
        <v>280</v>
      </c>
      <c r="R29" s="3">
        <v>0</v>
      </c>
      <c r="S29" s="5" t="s">
        <v>284</v>
      </c>
      <c r="T29" s="5" t="s">
        <v>285</v>
      </c>
      <c r="U29" s="5" t="s">
        <v>286</v>
      </c>
      <c r="V29" s="5" t="s">
        <v>287</v>
      </c>
      <c r="W29" s="5" t="s">
        <v>74</v>
      </c>
      <c r="X29" s="5" t="s">
        <v>522</v>
      </c>
    </row>
    <row r="30" spans="1:24" x14ac:dyDescent="0.3">
      <c r="A30">
        <v>29</v>
      </c>
      <c r="B30" t="s">
        <v>288</v>
      </c>
      <c r="C30" t="s">
        <v>282</v>
      </c>
      <c r="D30" t="s">
        <v>76</v>
      </c>
      <c r="E30" t="s">
        <v>22</v>
      </c>
      <c r="F30" s="4">
        <v>23</v>
      </c>
      <c r="G30" s="4">
        <v>13</v>
      </c>
      <c r="H30" s="4">
        <v>8.5</v>
      </c>
      <c r="I30" s="4">
        <v>10</v>
      </c>
      <c r="J30" s="4">
        <v>5</v>
      </c>
      <c r="K30" s="3">
        <f t="shared" si="0"/>
        <v>40.5</v>
      </c>
      <c r="L30" s="3">
        <f t="shared" si="1"/>
        <v>5.5555555555555554</v>
      </c>
      <c r="M30" s="3">
        <f t="shared" si="2"/>
        <v>439.85</v>
      </c>
      <c r="N30" s="3">
        <f t="shared" si="3"/>
        <v>366.19956111111117</v>
      </c>
      <c r="O30" s="3">
        <f t="shared" si="4"/>
        <v>342.27956111111115</v>
      </c>
      <c r="P30" s="3">
        <v>3440</v>
      </c>
      <c r="Q30" s="3">
        <v>160</v>
      </c>
      <c r="R30" s="3">
        <v>0</v>
      </c>
      <c r="S30" s="5" t="s">
        <v>289</v>
      </c>
      <c r="T30" s="5" t="s">
        <v>290</v>
      </c>
      <c r="U30" s="5" t="s">
        <v>75</v>
      </c>
      <c r="V30" s="5" t="s">
        <v>287</v>
      </c>
      <c r="W30" s="5" t="s">
        <v>74</v>
      </c>
      <c r="X30" s="5" t="s">
        <v>523</v>
      </c>
    </row>
    <row r="31" spans="1:24" x14ac:dyDescent="0.3">
      <c r="A31">
        <v>30</v>
      </c>
      <c r="B31" t="s">
        <v>291</v>
      </c>
      <c r="C31" t="s">
        <v>292</v>
      </c>
      <c r="D31" t="s">
        <v>76</v>
      </c>
      <c r="E31" t="s">
        <v>293</v>
      </c>
      <c r="F31" s="4">
        <v>16</v>
      </c>
      <c r="G31" s="4">
        <v>14</v>
      </c>
      <c r="H31" s="4">
        <v>7</v>
      </c>
      <c r="I31" s="4">
        <v>10</v>
      </c>
      <c r="J31" s="4">
        <v>3</v>
      </c>
      <c r="K31" s="3">
        <f t="shared" si="0"/>
        <v>50</v>
      </c>
      <c r="L31" s="3">
        <f t="shared" si="1"/>
        <v>3.3333333333333335</v>
      </c>
      <c r="M31" s="3">
        <f t="shared" si="2"/>
        <v>440.1</v>
      </c>
      <c r="N31" s="3">
        <f t="shared" si="3"/>
        <v>380.39310000000006</v>
      </c>
      <c r="O31" s="3">
        <f t="shared" si="4"/>
        <v>363.75310000000007</v>
      </c>
      <c r="P31" s="3">
        <v>3600</v>
      </c>
      <c r="Q31" s="3">
        <v>165</v>
      </c>
      <c r="R31" s="3">
        <v>0</v>
      </c>
      <c r="S31" s="5" t="s">
        <v>294</v>
      </c>
      <c r="T31" s="5" t="s">
        <v>60</v>
      </c>
      <c r="U31" s="5" t="s">
        <v>48</v>
      </c>
      <c r="V31" s="5" t="s">
        <v>59</v>
      </c>
      <c r="W31" s="5" t="s">
        <v>50</v>
      </c>
      <c r="X31" s="6" t="s">
        <v>554</v>
      </c>
    </row>
    <row r="32" spans="1:24" x14ac:dyDescent="0.3">
      <c r="A32">
        <v>31</v>
      </c>
      <c r="B32" t="s">
        <v>313</v>
      </c>
      <c r="C32" t="s">
        <v>314</v>
      </c>
      <c r="D32" t="s">
        <v>315</v>
      </c>
      <c r="E32" t="s">
        <v>316</v>
      </c>
      <c r="F32" s="4">
        <v>21</v>
      </c>
      <c r="G32" s="4">
        <v>7</v>
      </c>
      <c r="H32" s="4">
        <v>7.5</v>
      </c>
      <c r="I32" s="4">
        <v>10</v>
      </c>
      <c r="J32" s="4">
        <v>4</v>
      </c>
      <c r="K32" s="3">
        <f t="shared" si="0"/>
        <v>50.5</v>
      </c>
      <c r="L32" s="3">
        <f t="shared" si="1"/>
        <v>4.4444444444444446</v>
      </c>
      <c r="M32" s="3">
        <f t="shared" si="2"/>
        <v>408.95</v>
      </c>
      <c r="N32" s="3">
        <f t="shared" si="3"/>
        <v>346.97135555555559</v>
      </c>
      <c r="O32" s="3">
        <f t="shared" si="4"/>
        <v>325.13135555555561</v>
      </c>
      <c r="P32" s="3"/>
      <c r="Q32" s="3">
        <v>220</v>
      </c>
      <c r="R32">
        <v>1.5</v>
      </c>
      <c r="S32" t="s">
        <v>317</v>
      </c>
      <c r="T32" t="s">
        <v>318</v>
      </c>
      <c r="U32" t="s">
        <v>319</v>
      </c>
      <c r="V32" t="s">
        <v>320</v>
      </c>
      <c r="W32" t="s">
        <v>321</v>
      </c>
      <c r="X32" s="5" t="s">
        <v>524</v>
      </c>
    </row>
    <row r="33" spans="1:24" x14ac:dyDescent="0.3">
      <c r="A33">
        <v>32</v>
      </c>
      <c r="B33" t="s">
        <v>364</v>
      </c>
      <c r="C33" t="s">
        <v>314</v>
      </c>
      <c r="D33" t="s">
        <v>315</v>
      </c>
      <c r="E33" t="s">
        <v>22</v>
      </c>
      <c r="F33" s="4">
        <v>18</v>
      </c>
      <c r="G33" s="4">
        <v>7</v>
      </c>
      <c r="H33" s="4">
        <v>8</v>
      </c>
      <c r="I33" s="4">
        <v>12</v>
      </c>
      <c r="J33" s="4">
        <v>6</v>
      </c>
      <c r="K33" s="3">
        <f t="shared" si="0"/>
        <v>49</v>
      </c>
      <c r="L33" s="3">
        <f t="shared" si="1"/>
        <v>6.8181818181818183</v>
      </c>
      <c r="M33" s="3">
        <f t="shared" si="2"/>
        <v>393.9</v>
      </c>
      <c r="N33" s="3">
        <f t="shared" si="3"/>
        <v>320.83154999999999</v>
      </c>
      <c r="O33" s="3">
        <f t="shared" si="4"/>
        <v>302.11154999999997</v>
      </c>
      <c r="P33" s="3"/>
      <c r="Q33" s="3">
        <v>220</v>
      </c>
      <c r="R33">
        <v>1.29</v>
      </c>
      <c r="S33" t="s">
        <v>322</v>
      </c>
      <c r="T33" t="s">
        <v>323</v>
      </c>
      <c r="U33" t="s">
        <v>33</v>
      </c>
      <c r="V33" t="s">
        <v>324</v>
      </c>
      <c r="W33" t="s">
        <v>325</v>
      </c>
      <c r="X33" s="5" t="s">
        <v>555</v>
      </c>
    </row>
    <row r="34" spans="1:24" x14ac:dyDescent="0.3">
      <c r="A34">
        <v>33</v>
      </c>
      <c r="B34" t="s">
        <v>326</v>
      </c>
      <c r="C34" t="s">
        <v>314</v>
      </c>
      <c r="D34" t="s">
        <v>315</v>
      </c>
      <c r="E34" t="s">
        <v>327</v>
      </c>
      <c r="F34" s="4">
        <v>21</v>
      </c>
      <c r="G34" s="4">
        <v>7</v>
      </c>
      <c r="H34" s="4">
        <v>10</v>
      </c>
      <c r="I34" s="4">
        <v>10</v>
      </c>
      <c r="J34" s="4">
        <v>4</v>
      </c>
      <c r="K34" s="3">
        <f t="shared" si="0"/>
        <v>48</v>
      </c>
      <c r="L34" s="3">
        <f t="shared" si="1"/>
        <v>4.4444444444444446</v>
      </c>
      <c r="M34" s="3">
        <f t="shared" si="2"/>
        <v>398.7</v>
      </c>
      <c r="N34" s="3">
        <f t="shared" si="3"/>
        <v>338.27480000000003</v>
      </c>
      <c r="O34" s="3">
        <f t="shared" si="4"/>
        <v>316.43480000000005</v>
      </c>
      <c r="P34" s="3"/>
      <c r="Q34" s="3">
        <v>210</v>
      </c>
      <c r="R34">
        <v>1.36</v>
      </c>
      <c r="S34" t="s">
        <v>328</v>
      </c>
      <c r="T34" t="s">
        <v>329</v>
      </c>
      <c r="U34" t="s">
        <v>47</v>
      </c>
      <c r="V34" t="s">
        <v>330</v>
      </c>
      <c r="W34" t="s">
        <v>331</v>
      </c>
      <c r="X34" s="5" t="s">
        <v>525</v>
      </c>
    </row>
    <row r="35" spans="1:24" x14ac:dyDescent="0.3">
      <c r="A35">
        <v>34</v>
      </c>
      <c r="B35" t="s">
        <v>332</v>
      </c>
      <c r="C35" t="s">
        <v>314</v>
      </c>
      <c r="D35" t="s">
        <v>315</v>
      </c>
      <c r="E35" t="s">
        <v>333</v>
      </c>
      <c r="F35" s="4">
        <v>23</v>
      </c>
      <c r="G35" s="4">
        <v>8</v>
      </c>
      <c r="H35" s="4">
        <v>10</v>
      </c>
      <c r="I35" s="4">
        <v>12</v>
      </c>
      <c r="J35" s="4">
        <v>4</v>
      </c>
      <c r="K35" s="3">
        <f t="shared" si="0"/>
        <v>43</v>
      </c>
      <c r="L35" s="3">
        <f t="shared" si="1"/>
        <v>4.5454545454545459</v>
      </c>
      <c r="M35" s="3">
        <f t="shared" si="2"/>
        <v>399</v>
      </c>
      <c r="N35" s="3">
        <f t="shared" si="3"/>
        <v>337.95300000000003</v>
      </c>
      <c r="O35" s="3">
        <f t="shared" si="4"/>
        <v>314.03300000000002</v>
      </c>
      <c r="P35" s="3"/>
      <c r="Q35" s="3">
        <v>170</v>
      </c>
      <c r="R35">
        <v>6.87</v>
      </c>
      <c r="S35" t="s">
        <v>334</v>
      </c>
      <c r="T35" t="s">
        <v>335</v>
      </c>
      <c r="U35" t="s">
        <v>33</v>
      </c>
      <c r="V35" t="s">
        <v>336</v>
      </c>
      <c r="W35" t="s">
        <v>337</v>
      </c>
      <c r="X35" s="5" t="s">
        <v>556</v>
      </c>
    </row>
    <row r="36" spans="1:24" x14ac:dyDescent="0.3">
      <c r="A36">
        <v>35</v>
      </c>
      <c r="B36" t="s">
        <v>332</v>
      </c>
      <c r="C36" t="s">
        <v>314</v>
      </c>
      <c r="D36" t="s">
        <v>315</v>
      </c>
      <c r="E36" t="s">
        <v>338</v>
      </c>
      <c r="F36" s="4">
        <v>21</v>
      </c>
      <c r="G36" s="4">
        <v>7</v>
      </c>
      <c r="H36" s="4">
        <v>8</v>
      </c>
      <c r="I36" s="4">
        <v>12</v>
      </c>
      <c r="J36" s="4">
        <v>4</v>
      </c>
      <c r="K36" s="3">
        <f t="shared" si="0"/>
        <v>48</v>
      </c>
      <c r="L36" s="3">
        <f t="shared" si="1"/>
        <v>4.5454545454545459</v>
      </c>
      <c r="M36" s="3">
        <f t="shared" si="2"/>
        <v>398.7</v>
      </c>
      <c r="N36" s="3">
        <f t="shared" si="3"/>
        <v>337.69889999999998</v>
      </c>
      <c r="O36" s="3">
        <f t="shared" si="4"/>
        <v>315.85890000000001</v>
      </c>
      <c r="P36" s="3"/>
      <c r="Q36" s="3">
        <v>216</v>
      </c>
      <c r="R36">
        <v>6.5</v>
      </c>
      <c r="S36" t="s">
        <v>339</v>
      </c>
      <c r="T36" t="s">
        <v>335</v>
      </c>
      <c r="U36" t="s">
        <v>33</v>
      </c>
      <c r="V36" t="s">
        <v>340</v>
      </c>
      <c r="W36" t="s">
        <v>341</v>
      </c>
      <c r="X36" s="5" t="s">
        <v>557</v>
      </c>
    </row>
    <row r="37" spans="1:24" x14ac:dyDescent="0.3">
      <c r="A37">
        <v>36</v>
      </c>
      <c r="B37" t="s">
        <v>342</v>
      </c>
      <c r="C37" t="s">
        <v>314</v>
      </c>
      <c r="D37" t="s">
        <v>315</v>
      </c>
      <c r="E37" t="s">
        <v>343</v>
      </c>
      <c r="F37" s="4">
        <v>23</v>
      </c>
      <c r="G37" s="4">
        <v>10</v>
      </c>
      <c r="H37" s="4">
        <v>9</v>
      </c>
      <c r="I37" s="4">
        <v>10</v>
      </c>
      <c r="J37" s="4">
        <v>4</v>
      </c>
      <c r="K37" s="3">
        <f t="shared" si="0"/>
        <v>44</v>
      </c>
      <c r="L37" s="3">
        <f t="shared" si="1"/>
        <v>4.4444444444444446</v>
      </c>
      <c r="M37" s="3">
        <f t="shared" si="2"/>
        <v>421.9</v>
      </c>
      <c r="N37" s="3">
        <f t="shared" si="3"/>
        <v>357.95871111111114</v>
      </c>
      <c r="O37" s="3">
        <f t="shared" si="4"/>
        <v>334.03871111111113</v>
      </c>
      <c r="P37" s="3"/>
      <c r="Q37" s="3">
        <v>181</v>
      </c>
      <c r="R37">
        <v>14</v>
      </c>
      <c r="S37" t="s">
        <v>344</v>
      </c>
      <c r="T37" t="s">
        <v>345</v>
      </c>
      <c r="U37" t="s">
        <v>48</v>
      </c>
      <c r="V37" t="s">
        <v>49</v>
      </c>
      <c r="W37" t="s">
        <v>346</v>
      </c>
      <c r="X37" s="5" t="s">
        <v>558</v>
      </c>
    </row>
    <row r="38" spans="1:24" x14ac:dyDescent="0.3">
      <c r="A38">
        <v>37</v>
      </c>
      <c r="B38" t="s">
        <v>342</v>
      </c>
      <c r="C38" t="s">
        <v>314</v>
      </c>
      <c r="D38" t="s">
        <v>315</v>
      </c>
      <c r="E38" t="s">
        <v>347</v>
      </c>
      <c r="F38" s="4">
        <v>28</v>
      </c>
      <c r="G38" s="4">
        <v>10</v>
      </c>
      <c r="H38" s="4">
        <v>9</v>
      </c>
      <c r="I38" s="4">
        <v>10</v>
      </c>
      <c r="J38" s="4">
        <v>4</v>
      </c>
      <c r="K38" s="3">
        <f t="shared" si="0"/>
        <v>39</v>
      </c>
      <c r="L38" s="3">
        <f t="shared" si="1"/>
        <v>4.4444444444444446</v>
      </c>
      <c r="M38" s="3">
        <f t="shared" si="2"/>
        <v>429.9</v>
      </c>
      <c r="N38" s="3">
        <f t="shared" si="3"/>
        <v>364.74626666666666</v>
      </c>
      <c r="O38" s="3">
        <f t="shared" si="4"/>
        <v>335.62626666666665</v>
      </c>
      <c r="P38" s="3"/>
      <c r="Q38" s="3">
        <v>186</v>
      </c>
      <c r="R38">
        <v>9.56</v>
      </c>
      <c r="S38" t="s">
        <v>344</v>
      </c>
      <c r="T38" t="s">
        <v>345</v>
      </c>
      <c r="U38" t="s">
        <v>48</v>
      </c>
      <c r="V38" t="s">
        <v>49</v>
      </c>
      <c r="W38" t="s">
        <v>346</v>
      </c>
      <c r="X38" s="5" t="s">
        <v>559</v>
      </c>
    </row>
    <row r="39" spans="1:24" x14ac:dyDescent="0.3">
      <c r="A39">
        <v>38</v>
      </c>
      <c r="B39" t="s">
        <v>365</v>
      </c>
      <c r="C39" t="s">
        <v>366</v>
      </c>
      <c r="D39" t="s">
        <v>315</v>
      </c>
      <c r="E39" t="s">
        <v>367</v>
      </c>
      <c r="F39" s="4">
        <v>22</v>
      </c>
      <c r="G39" s="4">
        <v>6</v>
      </c>
      <c r="H39" s="4">
        <v>8</v>
      </c>
      <c r="I39" s="4">
        <v>12</v>
      </c>
      <c r="J39" s="4">
        <v>4</v>
      </c>
      <c r="K39" s="3">
        <f t="shared" si="0"/>
        <v>48</v>
      </c>
      <c r="L39" s="3">
        <f t="shared" si="1"/>
        <v>4.5454545454545459</v>
      </c>
      <c r="M39" s="3">
        <f t="shared" si="2"/>
        <v>395</v>
      </c>
      <c r="N39" s="3">
        <f t="shared" si="3"/>
        <v>334.565</v>
      </c>
      <c r="O39" s="3">
        <f t="shared" si="4"/>
        <v>311.685</v>
      </c>
      <c r="P39" s="3"/>
      <c r="Q39" s="3"/>
      <c r="R39" s="1">
        <v>2.93</v>
      </c>
      <c r="S39" t="s">
        <v>368</v>
      </c>
      <c r="T39" t="s">
        <v>369</v>
      </c>
      <c r="U39" t="s">
        <v>370</v>
      </c>
      <c r="V39" t="s">
        <v>371</v>
      </c>
      <c r="W39" t="s">
        <v>21</v>
      </c>
      <c r="X39" s="5" t="s">
        <v>505</v>
      </c>
    </row>
    <row r="40" spans="1:24" x14ac:dyDescent="0.3">
      <c r="A40">
        <v>39</v>
      </c>
      <c r="B40" t="s">
        <v>372</v>
      </c>
      <c r="C40" t="s">
        <v>373</v>
      </c>
      <c r="D40" t="s">
        <v>315</v>
      </c>
      <c r="E40" t="s">
        <v>374</v>
      </c>
      <c r="F40" s="4">
        <v>27</v>
      </c>
      <c r="G40" s="4">
        <v>15</v>
      </c>
      <c r="H40" s="4">
        <v>9</v>
      </c>
      <c r="I40" s="4">
        <v>10</v>
      </c>
      <c r="J40" s="4">
        <v>6</v>
      </c>
      <c r="K40" s="3">
        <f t="shared" si="0"/>
        <v>33</v>
      </c>
      <c r="L40" s="3">
        <f t="shared" si="1"/>
        <v>6.666666666666667</v>
      </c>
      <c r="M40" s="3">
        <f t="shared" si="2"/>
        <v>454.79999999999995</v>
      </c>
      <c r="N40" s="3">
        <f t="shared" si="3"/>
        <v>371.42</v>
      </c>
      <c r="O40" s="3">
        <f t="shared" si="4"/>
        <v>343.34000000000003</v>
      </c>
      <c r="P40" s="3"/>
      <c r="Q40" s="3">
        <v>165</v>
      </c>
      <c r="R40" s="1">
        <v>12.5</v>
      </c>
      <c r="S40" t="s">
        <v>375</v>
      </c>
      <c r="T40" t="s">
        <v>369</v>
      </c>
      <c r="U40" t="s">
        <v>370</v>
      </c>
      <c r="V40" t="s">
        <v>376</v>
      </c>
      <c r="W40" t="s">
        <v>21</v>
      </c>
      <c r="X40" s="5" t="s">
        <v>526</v>
      </c>
    </row>
    <row r="41" spans="1:24" x14ac:dyDescent="0.3">
      <c r="A41">
        <v>40</v>
      </c>
      <c r="B41" t="s">
        <v>377</v>
      </c>
      <c r="C41" t="s">
        <v>366</v>
      </c>
      <c r="D41" t="s">
        <v>315</v>
      </c>
      <c r="E41" t="s">
        <v>20</v>
      </c>
      <c r="F41" s="4">
        <v>18</v>
      </c>
      <c r="G41" s="4">
        <v>7</v>
      </c>
      <c r="H41" s="4">
        <v>7</v>
      </c>
      <c r="I41" s="4">
        <v>10</v>
      </c>
      <c r="J41" s="4">
        <v>5</v>
      </c>
      <c r="K41" s="3">
        <f t="shared" si="0"/>
        <v>53</v>
      </c>
      <c r="L41" s="3">
        <f t="shared" si="1"/>
        <v>5.5555555555555554</v>
      </c>
      <c r="M41" s="3">
        <f t="shared" si="2"/>
        <v>406.2</v>
      </c>
      <c r="N41" s="3">
        <f t="shared" si="3"/>
        <v>338.18406666666669</v>
      </c>
      <c r="O41" s="3">
        <f t="shared" si="4"/>
        <v>319.46406666666667</v>
      </c>
      <c r="P41" s="3"/>
      <c r="Q41" s="3"/>
      <c r="R41" s="1">
        <v>1.06</v>
      </c>
      <c r="S41" t="s">
        <v>378</v>
      </c>
      <c r="T41" t="s">
        <v>379</v>
      </c>
      <c r="U41" t="s">
        <v>380</v>
      </c>
      <c r="V41" t="s">
        <v>381</v>
      </c>
      <c r="W41" t="s">
        <v>55</v>
      </c>
      <c r="X41" s="5" t="s">
        <v>527</v>
      </c>
    </row>
    <row r="42" spans="1:24" x14ac:dyDescent="0.3">
      <c r="A42">
        <v>41</v>
      </c>
      <c r="B42" t="s">
        <v>499</v>
      </c>
      <c r="C42" t="s">
        <v>430</v>
      </c>
      <c r="D42" t="s">
        <v>315</v>
      </c>
      <c r="E42" t="s">
        <v>20</v>
      </c>
      <c r="F42" s="4">
        <v>22</v>
      </c>
      <c r="G42" s="4">
        <v>12</v>
      </c>
      <c r="H42" s="4">
        <v>9.3000000000000007</v>
      </c>
      <c r="I42" s="4">
        <v>10</v>
      </c>
      <c r="J42" s="4">
        <v>5.5</v>
      </c>
      <c r="K42" s="3">
        <f t="shared" si="0"/>
        <v>41.2</v>
      </c>
      <c r="L42" s="3">
        <f t="shared" si="1"/>
        <v>6.1111111111111107</v>
      </c>
      <c r="M42" s="3">
        <f t="shared" si="2"/>
        <v>429.67</v>
      </c>
      <c r="N42" s="3">
        <f t="shared" si="3"/>
        <v>354.31065611111109</v>
      </c>
      <c r="O42" s="3">
        <f t="shared" si="4"/>
        <v>331.43065611111109</v>
      </c>
      <c r="P42" s="3">
        <v>3500</v>
      </c>
      <c r="Q42" s="3">
        <v>100</v>
      </c>
      <c r="R42" s="1">
        <v>3.61</v>
      </c>
      <c r="S42" t="s">
        <v>431</v>
      </c>
      <c r="T42" t="s">
        <v>432</v>
      </c>
      <c r="U42" t="s">
        <v>433</v>
      </c>
      <c r="V42" t="s">
        <v>434</v>
      </c>
      <c r="W42" t="s">
        <v>435</v>
      </c>
      <c r="X42" s="5" t="s">
        <v>528</v>
      </c>
    </row>
    <row r="43" spans="1:24" x14ac:dyDescent="0.3">
      <c r="A43">
        <v>42</v>
      </c>
      <c r="B43" t="s">
        <v>436</v>
      </c>
      <c r="C43" t="s">
        <v>430</v>
      </c>
      <c r="D43" t="s">
        <v>315</v>
      </c>
      <c r="E43" t="s">
        <v>20</v>
      </c>
      <c r="F43" s="4">
        <v>22</v>
      </c>
      <c r="G43" s="4">
        <v>12</v>
      </c>
      <c r="H43" s="4">
        <v>7</v>
      </c>
      <c r="I43" s="4">
        <v>10</v>
      </c>
      <c r="J43" s="4">
        <v>6</v>
      </c>
      <c r="K43" s="3">
        <f t="shared" si="0"/>
        <v>43</v>
      </c>
      <c r="L43" s="3">
        <f t="shared" si="1"/>
        <v>6.666666666666667</v>
      </c>
      <c r="M43" s="3">
        <f t="shared" si="2"/>
        <v>439.1</v>
      </c>
      <c r="N43" s="3">
        <f t="shared" si="3"/>
        <v>358.59833333333336</v>
      </c>
      <c r="O43" s="3">
        <f t="shared" si="4"/>
        <v>335.71833333333336</v>
      </c>
      <c r="P43" s="3">
        <v>3300</v>
      </c>
      <c r="Q43" s="3">
        <v>115</v>
      </c>
      <c r="R43" s="1">
        <v>20</v>
      </c>
      <c r="S43" t="s">
        <v>437</v>
      </c>
      <c r="T43" t="s">
        <v>438</v>
      </c>
      <c r="U43" t="s">
        <v>433</v>
      </c>
      <c r="V43" t="s">
        <v>439</v>
      </c>
      <c r="W43" t="s">
        <v>440</v>
      </c>
      <c r="X43" s="5" t="s">
        <v>529</v>
      </c>
    </row>
    <row r="44" spans="1:24" x14ac:dyDescent="0.3">
      <c r="A44">
        <v>43</v>
      </c>
      <c r="B44" t="s">
        <v>471</v>
      </c>
      <c r="C44" t="s">
        <v>483</v>
      </c>
      <c r="D44" t="s">
        <v>315</v>
      </c>
      <c r="E44" t="s">
        <v>20</v>
      </c>
      <c r="F44" s="1">
        <v>22</v>
      </c>
      <c r="G44" s="1">
        <v>10</v>
      </c>
      <c r="H44" s="1">
        <v>8</v>
      </c>
      <c r="I44" s="1">
        <v>10</v>
      </c>
      <c r="J44" s="1">
        <v>4</v>
      </c>
      <c r="K44" s="3">
        <f t="shared" ref="K44:K82" si="5">100-(F44+G44+H44+I44+J44)</f>
        <v>46</v>
      </c>
      <c r="L44" s="3">
        <f t="shared" ref="L44:L82" si="6">(100*J44)/(100-I44)</f>
        <v>4.4444444444444446</v>
      </c>
      <c r="M44" s="3">
        <f t="shared" ref="M44:M82" si="7">(5.7*F44)+(9.4*G44)+(4.1*(K44+J44))</f>
        <v>424.4</v>
      </c>
      <c r="N44" s="3">
        <f t="shared" ref="N44:N82" si="8">((91.2-(1.43*L44))*M44)/100</f>
        <v>360.07982222222222</v>
      </c>
      <c r="O44" s="3">
        <f t="shared" ref="O44:O82" si="9">N44-(1.04*F44)</f>
        <v>337.19982222222222</v>
      </c>
      <c r="P44" s="3"/>
      <c r="Q44" s="3">
        <v>160</v>
      </c>
      <c r="R44" s="1">
        <v>2.2999999999999998</v>
      </c>
      <c r="S44" t="s">
        <v>472</v>
      </c>
      <c r="T44" t="s">
        <v>473</v>
      </c>
      <c r="U44" t="s">
        <v>474</v>
      </c>
      <c r="V44" t="s">
        <v>475</v>
      </c>
      <c r="W44" t="s">
        <v>476</v>
      </c>
      <c r="X44" s="5" t="s">
        <v>530</v>
      </c>
    </row>
    <row r="45" spans="1:24" x14ac:dyDescent="0.3">
      <c r="A45">
        <v>44</v>
      </c>
      <c r="B45" t="s">
        <v>478</v>
      </c>
      <c r="C45" t="s">
        <v>29</v>
      </c>
      <c r="D45" t="s">
        <v>315</v>
      </c>
      <c r="E45" t="s">
        <v>479</v>
      </c>
      <c r="F45" s="1">
        <v>18</v>
      </c>
      <c r="G45" s="1">
        <v>6</v>
      </c>
      <c r="H45" s="1">
        <v>8</v>
      </c>
      <c r="I45" s="1">
        <v>12</v>
      </c>
      <c r="J45" s="1">
        <v>5</v>
      </c>
      <c r="K45" s="3">
        <f t="shared" si="5"/>
        <v>51</v>
      </c>
      <c r="L45" s="3">
        <f t="shared" si="6"/>
        <v>5.6818181818181817</v>
      </c>
      <c r="M45" s="3">
        <f t="shared" si="7"/>
        <v>388.59999999999997</v>
      </c>
      <c r="N45" s="3">
        <f t="shared" si="8"/>
        <v>322.82945000000001</v>
      </c>
      <c r="O45" s="3">
        <f t="shared" si="9"/>
        <v>304.10945000000004</v>
      </c>
      <c r="P45" s="3"/>
      <c r="Q45" s="3">
        <v>220</v>
      </c>
      <c r="R45" s="1">
        <v>1.32</v>
      </c>
      <c r="S45" t="s">
        <v>480</v>
      </c>
      <c r="T45" t="s">
        <v>477</v>
      </c>
      <c r="U45" t="s">
        <v>53</v>
      </c>
      <c r="V45" t="s">
        <v>481</v>
      </c>
      <c r="W45" t="s">
        <v>482</v>
      </c>
      <c r="X45" s="5" t="s">
        <v>531</v>
      </c>
    </row>
    <row r="46" spans="1:24" x14ac:dyDescent="0.3">
      <c r="A46">
        <v>45</v>
      </c>
      <c r="B46" t="s">
        <v>428</v>
      </c>
      <c r="C46" t="s">
        <v>429</v>
      </c>
      <c r="D46" t="s">
        <v>35</v>
      </c>
      <c r="E46" t="s">
        <v>382</v>
      </c>
      <c r="F46" s="4">
        <v>40</v>
      </c>
      <c r="G46" s="4">
        <v>24.57</v>
      </c>
      <c r="H46" s="4">
        <v>12</v>
      </c>
      <c r="I46" s="4">
        <v>8.5</v>
      </c>
      <c r="J46" s="4">
        <v>12</v>
      </c>
      <c r="K46" s="3">
        <f t="shared" si="5"/>
        <v>2.9300000000000068</v>
      </c>
      <c r="L46" s="3">
        <f t="shared" si="6"/>
        <v>13.114754098360656</v>
      </c>
      <c r="M46" s="3">
        <f t="shared" si="7"/>
        <v>520.17100000000005</v>
      </c>
      <c r="N46" s="3">
        <f t="shared" si="8"/>
        <v>376.84257101639355</v>
      </c>
      <c r="O46" s="3">
        <f t="shared" si="9"/>
        <v>335.24257101639353</v>
      </c>
      <c r="P46" s="3"/>
      <c r="Q46" s="3"/>
      <c r="R46" s="1">
        <v>3750</v>
      </c>
      <c r="S46" t="s">
        <v>441</v>
      </c>
      <c r="T46" t="s">
        <v>442</v>
      </c>
      <c r="U46" t="s">
        <v>65</v>
      </c>
      <c r="V46" t="s">
        <v>443</v>
      </c>
      <c r="W46" t="s">
        <v>21</v>
      </c>
      <c r="X46" s="5" t="s">
        <v>490</v>
      </c>
    </row>
    <row r="47" spans="1:24" x14ac:dyDescent="0.3">
      <c r="A47">
        <v>46</v>
      </c>
      <c r="B47" t="s">
        <v>428</v>
      </c>
      <c r="C47" t="s">
        <v>429</v>
      </c>
      <c r="D47" t="s">
        <v>35</v>
      </c>
      <c r="E47" t="s">
        <v>470</v>
      </c>
      <c r="F47" s="4">
        <v>40</v>
      </c>
      <c r="G47" s="4">
        <v>27</v>
      </c>
      <c r="H47" s="4">
        <v>11</v>
      </c>
      <c r="I47" s="4">
        <v>9</v>
      </c>
      <c r="J47" s="4">
        <v>12</v>
      </c>
      <c r="K47" s="3">
        <f t="shared" si="5"/>
        <v>1</v>
      </c>
      <c r="L47" s="3">
        <f t="shared" si="6"/>
        <v>13.186813186813186</v>
      </c>
      <c r="M47" s="3">
        <f t="shared" si="7"/>
        <v>535.1</v>
      </c>
      <c r="N47" s="3">
        <f t="shared" si="8"/>
        <v>387.10662857142864</v>
      </c>
      <c r="O47" s="3">
        <f t="shared" si="9"/>
        <v>345.50662857142862</v>
      </c>
      <c r="P47" s="3"/>
      <c r="Q47" s="3"/>
      <c r="R47" s="1">
        <v>336</v>
      </c>
      <c r="S47" t="s">
        <v>444</v>
      </c>
      <c r="T47" t="s">
        <v>445</v>
      </c>
      <c r="U47" t="s">
        <v>446</v>
      </c>
      <c r="V47" t="s">
        <v>447</v>
      </c>
      <c r="W47" t="s">
        <v>448</v>
      </c>
      <c r="X47" s="5" t="s">
        <v>490</v>
      </c>
    </row>
    <row r="48" spans="1:24" x14ac:dyDescent="0.3">
      <c r="A48">
        <v>47</v>
      </c>
      <c r="B48" t="s">
        <v>428</v>
      </c>
      <c r="C48" t="s">
        <v>429</v>
      </c>
      <c r="D48" t="s">
        <v>35</v>
      </c>
      <c r="E48" t="s">
        <v>20</v>
      </c>
      <c r="F48" s="4">
        <v>32</v>
      </c>
      <c r="G48" s="4">
        <v>14</v>
      </c>
      <c r="H48" s="4">
        <v>15</v>
      </c>
      <c r="I48" s="4">
        <v>7.5</v>
      </c>
      <c r="J48" s="4">
        <v>8</v>
      </c>
      <c r="K48" s="3">
        <f t="shared" si="5"/>
        <v>23.5</v>
      </c>
      <c r="L48" s="3">
        <f t="shared" si="6"/>
        <v>8.6486486486486491</v>
      </c>
      <c r="M48" s="3">
        <f t="shared" si="7"/>
        <v>443.15</v>
      </c>
      <c r="N48" s="3">
        <f t="shared" si="8"/>
        <v>349.34592432432436</v>
      </c>
      <c r="O48" s="3">
        <f t="shared" si="9"/>
        <v>316.06592432432433</v>
      </c>
      <c r="P48" s="3"/>
      <c r="Q48" s="3"/>
      <c r="R48" s="1">
        <v>380</v>
      </c>
      <c r="S48" t="s">
        <v>449</v>
      </c>
      <c r="T48" t="s">
        <v>450</v>
      </c>
      <c r="U48" t="s">
        <v>24</v>
      </c>
      <c r="V48" t="s">
        <v>451</v>
      </c>
      <c r="W48" t="s">
        <v>452</v>
      </c>
      <c r="X48" s="5" t="s">
        <v>490</v>
      </c>
    </row>
    <row r="49" spans="1:24" x14ac:dyDescent="0.3">
      <c r="A49">
        <v>48</v>
      </c>
      <c r="B49" t="s">
        <v>453</v>
      </c>
      <c r="C49" t="s">
        <v>429</v>
      </c>
      <c r="D49" t="s">
        <v>35</v>
      </c>
      <c r="E49" t="s">
        <v>397</v>
      </c>
      <c r="F49" s="4">
        <v>32</v>
      </c>
      <c r="G49" s="4">
        <v>13</v>
      </c>
      <c r="H49" s="4">
        <v>11</v>
      </c>
      <c r="I49" s="4">
        <v>8</v>
      </c>
      <c r="J49" s="4">
        <v>12</v>
      </c>
      <c r="K49" s="3">
        <f t="shared" si="5"/>
        <v>24</v>
      </c>
      <c r="L49" s="3">
        <f t="shared" si="6"/>
        <v>13.043478260869565</v>
      </c>
      <c r="M49" s="3">
        <f t="shared" si="7"/>
        <v>452.20000000000005</v>
      </c>
      <c r="N49" s="3">
        <f t="shared" si="8"/>
        <v>328.06126956521746</v>
      </c>
      <c r="O49" s="3">
        <f t="shared" si="9"/>
        <v>294.78126956521749</v>
      </c>
      <c r="P49" s="3"/>
      <c r="Q49" s="3"/>
      <c r="R49" s="1">
        <v>3200</v>
      </c>
      <c r="S49" t="s">
        <v>454</v>
      </c>
      <c r="T49" t="s">
        <v>455</v>
      </c>
      <c r="U49" t="s">
        <v>24</v>
      </c>
      <c r="V49" t="s">
        <v>456</v>
      </c>
      <c r="W49" t="s">
        <v>457</v>
      </c>
      <c r="X49" s="5" t="s">
        <v>532</v>
      </c>
    </row>
    <row r="50" spans="1:24" x14ac:dyDescent="0.3">
      <c r="A50">
        <v>49</v>
      </c>
      <c r="B50" t="s">
        <v>458</v>
      </c>
      <c r="C50" t="s">
        <v>429</v>
      </c>
      <c r="D50" t="s">
        <v>35</v>
      </c>
      <c r="E50" t="s">
        <v>20</v>
      </c>
      <c r="F50" s="4">
        <v>30</v>
      </c>
      <c r="G50" s="4">
        <v>11</v>
      </c>
      <c r="H50" s="4">
        <v>9.5</v>
      </c>
      <c r="I50" s="4">
        <v>8</v>
      </c>
      <c r="J50" s="4">
        <v>12</v>
      </c>
      <c r="K50" s="3">
        <f t="shared" si="5"/>
        <v>29.5</v>
      </c>
      <c r="L50" s="3">
        <f t="shared" si="6"/>
        <v>13.043478260869565</v>
      </c>
      <c r="M50" s="3">
        <f t="shared" si="7"/>
        <v>444.54999999999995</v>
      </c>
      <c r="N50" s="3">
        <f t="shared" si="8"/>
        <v>322.51136086956518</v>
      </c>
      <c r="O50" s="3">
        <f t="shared" si="9"/>
        <v>291.31136086956519</v>
      </c>
      <c r="P50" s="3"/>
      <c r="Q50" s="3"/>
      <c r="R50" s="1">
        <v>3100</v>
      </c>
      <c r="S50" t="s">
        <v>459</v>
      </c>
      <c r="T50" t="s">
        <v>460</v>
      </c>
      <c r="U50" t="s">
        <v>461</v>
      </c>
      <c r="V50" t="s">
        <v>462</v>
      </c>
      <c r="W50" t="s">
        <v>463</v>
      </c>
      <c r="X50" s="5" t="s">
        <v>533</v>
      </c>
    </row>
    <row r="51" spans="1:24" x14ac:dyDescent="0.3">
      <c r="A51">
        <v>50</v>
      </c>
      <c r="B51" t="s">
        <v>464</v>
      </c>
      <c r="C51" t="s">
        <v>429</v>
      </c>
      <c r="D51" t="s">
        <v>35</v>
      </c>
      <c r="E51" t="s">
        <v>20</v>
      </c>
      <c r="F51" s="4">
        <v>34</v>
      </c>
      <c r="G51" s="4">
        <v>13</v>
      </c>
      <c r="H51" s="4">
        <v>11</v>
      </c>
      <c r="I51" s="4">
        <v>8</v>
      </c>
      <c r="J51" s="4">
        <v>12</v>
      </c>
      <c r="K51" s="3">
        <f t="shared" si="5"/>
        <v>22</v>
      </c>
      <c r="L51" s="3">
        <f t="shared" si="6"/>
        <v>13.043478260869565</v>
      </c>
      <c r="M51" s="3">
        <f t="shared" si="7"/>
        <v>455.4</v>
      </c>
      <c r="N51" s="3">
        <f t="shared" si="8"/>
        <v>330.38279999999997</v>
      </c>
      <c r="O51" s="3">
        <f t="shared" si="9"/>
        <v>295.02279999999996</v>
      </c>
      <c r="P51" s="3"/>
      <c r="Q51" s="3"/>
      <c r="R51" s="1">
        <v>3200</v>
      </c>
      <c r="S51" t="s">
        <v>465</v>
      </c>
      <c r="T51" t="s">
        <v>466</v>
      </c>
      <c r="U51" t="s">
        <v>467</v>
      </c>
      <c r="V51" t="s">
        <v>468</v>
      </c>
      <c r="W51" t="s">
        <v>469</v>
      </c>
      <c r="X51" s="5" t="s">
        <v>534</v>
      </c>
    </row>
    <row r="52" spans="1:24" x14ac:dyDescent="0.3">
      <c r="A52">
        <v>51</v>
      </c>
      <c r="B52" t="s">
        <v>32</v>
      </c>
      <c r="C52" t="s">
        <v>32</v>
      </c>
      <c r="D52" t="s">
        <v>35</v>
      </c>
      <c r="E52" t="s">
        <v>423</v>
      </c>
      <c r="F52" s="4">
        <v>27</v>
      </c>
      <c r="G52" s="4">
        <v>26.18</v>
      </c>
      <c r="H52" s="4">
        <v>13</v>
      </c>
      <c r="I52" s="4">
        <v>7</v>
      </c>
      <c r="J52" s="4">
        <v>8</v>
      </c>
      <c r="K52" s="3">
        <f t="shared" si="5"/>
        <v>18.819999999999993</v>
      </c>
      <c r="L52" s="3">
        <f t="shared" si="6"/>
        <v>8.6021505376344081</v>
      </c>
      <c r="M52" s="3">
        <f t="shared" si="7"/>
        <v>509.95399999999995</v>
      </c>
      <c r="N52" s="3">
        <f t="shared" si="8"/>
        <v>402.34822262365589</v>
      </c>
      <c r="O52" s="3">
        <f t="shared" si="9"/>
        <v>374.2682226236559</v>
      </c>
      <c r="P52" s="3"/>
      <c r="Q52" s="3"/>
      <c r="R52" s="1">
        <v>363</v>
      </c>
      <c r="S52" t="s">
        <v>403</v>
      </c>
      <c r="T52" t="s">
        <v>404</v>
      </c>
      <c r="U52" t="s">
        <v>405</v>
      </c>
      <c r="V52" t="s">
        <v>406</v>
      </c>
      <c r="W52" t="s">
        <v>21</v>
      </c>
      <c r="X52" s="5" t="s">
        <v>535</v>
      </c>
    </row>
    <row r="53" spans="1:24" x14ac:dyDescent="0.3">
      <c r="A53">
        <v>52</v>
      </c>
      <c r="B53" t="s">
        <v>32</v>
      </c>
      <c r="C53" t="s">
        <v>40</v>
      </c>
      <c r="D53" t="s">
        <v>35</v>
      </c>
      <c r="E53" t="s">
        <v>407</v>
      </c>
      <c r="F53" s="4">
        <v>37</v>
      </c>
      <c r="G53" s="4">
        <v>34</v>
      </c>
      <c r="H53" s="4">
        <v>12</v>
      </c>
      <c r="I53" s="4">
        <v>7</v>
      </c>
      <c r="J53" s="4">
        <v>10</v>
      </c>
      <c r="K53" s="3">
        <f t="shared" si="5"/>
        <v>0</v>
      </c>
      <c r="L53" s="3">
        <f t="shared" si="6"/>
        <v>10.75268817204301</v>
      </c>
      <c r="M53" s="3">
        <f t="shared" si="7"/>
        <v>571.5</v>
      </c>
      <c r="N53" s="3">
        <f t="shared" si="8"/>
        <v>433.33219354838712</v>
      </c>
      <c r="O53" s="3">
        <f t="shared" si="9"/>
        <v>394.85219354838711</v>
      </c>
      <c r="P53" s="3"/>
      <c r="Q53" s="3"/>
      <c r="R53" s="1">
        <v>362</v>
      </c>
      <c r="S53" t="s">
        <v>408</v>
      </c>
      <c r="T53" t="s">
        <v>409</v>
      </c>
      <c r="U53" t="s">
        <v>31</v>
      </c>
      <c r="V53" t="s">
        <v>73</v>
      </c>
      <c r="W53" t="s">
        <v>57</v>
      </c>
      <c r="X53" s="5" t="s">
        <v>535</v>
      </c>
    </row>
    <row r="54" spans="1:24" x14ac:dyDescent="0.3">
      <c r="A54">
        <v>53</v>
      </c>
      <c r="B54" t="s">
        <v>32</v>
      </c>
      <c r="C54" t="s">
        <v>40</v>
      </c>
      <c r="D54" t="s">
        <v>35</v>
      </c>
      <c r="E54" t="s">
        <v>424</v>
      </c>
      <c r="F54" s="4">
        <v>34</v>
      </c>
      <c r="G54" s="4">
        <v>40</v>
      </c>
      <c r="H54" s="4">
        <v>15</v>
      </c>
      <c r="I54" s="4">
        <v>7.5</v>
      </c>
      <c r="J54" s="4">
        <v>8</v>
      </c>
      <c r="K54" s="3">
        <f t="shared" si="5"/>
        <v>-4.5</v>
      </c>
      <c r="L54" s="3">
        <f t="shared" si="6"/>
        <v>8.6486486486486491</v>
      </c>
      <c r="M54" s="3">
        <f t="shared" si="7"/>
        <v>584.15</v>
      </c>
      <c r="N54" s="3">
        <f t="shared" si="8"/>
        <v>460.49965405405413</v>
      </c>
      <c r="O54" s="3">
        <f t="shared" si="9"/>
        <v>425.13965405405412</v>
      </c>
      <c r="P54" s="3"/>
      <c r="Q54" s="3"/>
      <c r="R54" s="1">
        <v>384</v>
      </c>
      <c r="S54" t="s">
        <v>410</v>
      </c>
      <c r="T54" t="s">
        <v>411</v>
      </c>
      <c r="U54" t="s">
        <v>31</v>
      </c>
      <c r="V54" t="s">
        <v>363</v>
      </c>
      <c r="W54" t="s">
        <v>412</v>
      </c>
      <c r="X54" s="5" t="s">
        <v>535</v>
      </c>
    </row>
    <row r="55" spans="1:24" x14ac:dyDescent="0.3">
      <c r="A55">
        <v>54</v>
      </c>
      <c r="B55" t="s">
        <v>32</v>
      </c>
      <c r="C55" t="s">
        <v>40</v>
      </c>
      <c r="D55" t="s">
        <v>35</v>
      </c>
      <c r="E55" t="s">
        <v>425</v>
      </c>
      <c r="F55" s="4">
        <v>46</v>
      </c>
      <c r="G55" s="4">
        <v>47.9</v>
      </c>
      <c r="H55" s="4">
        <v>12</v>
      </c>
      <c r="I55" s="4">
        <v>7.9</v>
      </c>
      <c r="J55" s="4">
        <v>8</v>
      </c>
      <c r="K55" s="3">
        <f t="shared" si="5"/>
        <v>-21.800000000000011</v>
      </c>
      <c r="L55" s="3">
        <f t="shared" si="6"/>
        <v>8.686210640608035</v>
      </c>
      <c r="M55" s="3">
        <f t="shared" si="7"/>
        <v>655.88</v>
      </c>
      <c r="N55" s="3">
        <f t="shared" si="8"/>
        <v>516.69386076004344</v>
      </c>
      <c r="O55" s="3">
        <f t="shared" si="9"/>
        <v>468.8538607600434</v>
      </c>
      <c r="P55" s="3"/>
      <c r="Q55" s="3"/>
      <c r="R55" s="1">
        <v>361</v>
      </c>
      <c r="S55" t="s">
        <v>415</v>
      </c>
      <c r="T55" t="s">
        <v>416</v>
      </c>
      <c r="U55" t="s">
        <v>413</v>
      </c>
      <c r="V55" t="s">
        <v>414</v>
      </c>
      <c r="W55" t="s">
        <v>21</v>
      </c>
      <c r="X55" s="5" t="s">
        <v>535</v>
      </c>
    </row>
    <row r="56" spans="1:24" x14ac:dyDescent="0.3">
      <c r="A56">
        <v>55</v>
      </c>
      <c r="B56" t="s">
        <v>32</v>
      </c>
      <c r="C56" t="s">
        <v>40</v>
      </c>
      <c r="D56" t="s">
        <v>35</v>
      </c>
      <c r="E56" t="s">
        <v>20</v>
      </c>
      <c r="F56" s="4">
        <v>32</v>
      </c>
      <c r="G56" s="4">
        <v>15</v>
      </c>
      <c r="H56" s="4">
        <v>15</v>
      </c>
      <c r="I56" s="4">
        <v>7.5</v>
      </c>
      <c r="J56" s="4">
        <v>8</v>
      </c>
      <c r="K56" s="3">
        <f t="shared" si="5"/>
        <v>22.5</v>
      </c>
      <c r="L56" s="3">
        <f t="shared" si="6"/>
        <v>8.6486486486486491</v>
      </c>
      <c r="M56" s="3">
        <f t="shared" si="7"/>
        <v>448.44999999999993</v>
      </c>
      <c r="N56" s="3">
        <f t="shared" si="8"/>
        <v>353.52404324324323</v>
      </c>
      <c r="O56" s="3">
        <f t="shared" si="9"/>
        <v>320.24404324324325</v>
      </c>
      <c r="P56" s="3"/>
      <c r="Q56" s="3"/>
      <c r="R56" s="1">
        <v>372</v>
      </c>
      <c r="S56" t="s">
        <v>417</v>
      </c>
      <c r="T56" t="s">
        <v>418</v>
      </c>
      <c r="U56" t="s">
        <v>402</v>
      </c>
      <c r="V56" t="s">
        <v>419</v>
      </c>
      <c r="W56" t="s">
        <v>57</v>
      </c>
      <c r="X56" s="5" t="s">
        <v>535</v>
      </c>
    </row>
    <row r="57" spans="1:24" x14ac:dyDescent="0.3">
      <c r="A57">
        <v>56</v>
      </c>
      <c r="B57" t="s">
        <v>32</v>
      </c>
      <c r="C57" t="s">
        <v>32</v>
      </c>
      <c r="D57" t="s">
        <v>35</v>
      </c>
      <c r="E57" t="s">
        <v>426</v>
      </c>
      <c r="F57" s="4">
        <v>34</v>
      </c>
      <c r="G57" s="4">
        <v>12</v>
      </c>
      <c r="H57" s="4">
        <v>15</v>
      </c>
      <c r="I57" s="4">
        <v>6.9</v>
      </c>
      <c r="J57" s="4">
        <v>5.5</v>
      </c>
      <c r="K57" s="3">
        <f t="shared" si="5"/>
        <v>26.599999999999994</v>
      </c>
      <c r="L57" s="3">
        <f t="shared" si="6"/>
        <v>5.9076262083780886</v>
      </c>
      <c r="M57" s="3">
        <f t="shared" si="7"/>
        <v>438.21</v>
      </c>
      <c r="N57" s="3">
        <f t="shared" si="8"/>
        <v>362.62795340494091</v>
      </c>
      <c r="O57" s="3">
        <f t="shared" si="9"/>
        <v>327.2679534049409</v>
      </c>
      <c r="P57" s="3"/>
      <c r="Q57" s="3"/>
      <c r="R57" s="1">
        <v>3564</v>
      </c>
      <c r="S57" t="s">
        <v>420</v>
      </c>
      <c r="T57" t="s">
        <v>421</v>
      </c>
      <c r="U57" t="s">
        <v>31</v>
      </c>
      <c r="V57" t="s">
        <v>422</v>
      </c>
      <c r="W57" t="s">
        <v>21</v>
      </c>
      <c r="X57" s="5" t="s">
        <v>535</v>
      </c>
    </row>
    <row r="58" spans="1:24" x14ac:dyDescent="0.3">
      <c r="A58">
        <v>57</v>
      </c>
      <c r="B58" t="s">
        <v>398</v>
      </c>
      <c r="C58" t="s">
        <v>396</v>
      </c>
      <c r="D58" t="s">
        <v>35</v>
      </c>
      <c r="E58" t="s">
        <v>20</v>
      </c>
      <c r="F58" s="4">
        <v>42</v>
      </c>
      <c r="G58" s="4">
        <v>7</v>
      </c>
      <c r="H58" s="4">
        <v>18</v>
      </c>
      <c r="I58" s="4">
        <v>8.3000000000000007</v>
      </c>
      <c r="J58" s="4">
        <v>10</v>
      </c>
      <c r="K58" s="3">
        <f t="shared" si="5"/>
        <v>14.700000000000003</v>
      </c>
      <c r="L58" s="3">
        <f t="shared" si="6"/>
        <v>10.905125408942203</v>
      </c>
      <c r="M58" s="3">
        <f t="shared" si="7"/>
        <v>406.46999999999997</v>
      </c>
      <c r="N58" s="3">
        <f t="shared" si="8"/>
        <v>307.3143695528899</v>
      </c>
      <c r="O58" s="3">
        <f t="shared" si="9"/>
        <v>263.63436955288989</v>
      </c>
      <c r="P58" s="3"/>
      <c r="Q58" s="3"/>
      <c r="R58" s="1">
        <v>4488</v>
      </c>
      <c r="S58" t="s">
        <v>399</v>
      </c>
      <c r="T58" t="s">
        <v>400</v>
      </c>
      <c r="U58" t="s">
        <v>54</v>
      </c>
      <c r="V58" t="s">
        <v>401</v>
      </c>
      <c r="W58" t="s">
        <v>56</v>
      </c>
      <c r="X58" s="5" t="s">
        <v>536</v>
      </c>
    </row>
    <row r="59" spans="1:24" x14ac:dyDescent="0.3">
      <c r="A59">
        <v>58</v>
      </c>
      <c r="B59" t="s">
        <v>395</v>
      </c>
      <c r="C59" t="s">
        <v>366</v>
      </c>
      <c r="D59" t="s">
        <v>35</v>
      </c>
      <c r="E59" t="s">
        <v>382</v>
      </c>
      <c r="F59" s="4">
        <v>32</v>
      </c>
      <c r="G59" s="4">
        <v>10.45</v>
      </c>
      <c r="H59" s="4">
        <v>10</v>
      </c>
      <c r="I59" s="4">
        <v>8</v>
      </c>
      <c r="J59" s="4">
        <v>10</v>
      </c>
      <c r="K59" s="3">
        <f t="shared" si="5"/>
        <v>29.549999999999997</v>
      </c>
      <c r="L59" s="3">
        <f t="shared" si="6"/>
        <v>10.869565217391305</v>
      </c>
      <c r="M59" s="3">
        <f t="shared" si="7"/>
        <v>442.78499999999997</v>
      </c>
      <c r="N59" s="3">
        <f t="shared" si="8"/>
        <v>334.99572978260869</v>
      </c>
      <c r="O59" s="3">
        <f t="shared" si="9"/>
        <v>301.71572978260872</v>
      </c>
      <c r="P59" s="3"/>
      <c r="Q59" s="3"/>
      <c r="R59" s="1">
        <v>333</v>
      </c>
      <c r="S59" t="s">
        <v>383</v>
      </c>
      <c r="T59" t="s">
        <v>384</v>
      </c>
      <c r="U59" t="s">
        <v>21</v>
      </c>
      <c r="V59" t="s">
        <v>385</v>
      </c>
      <c r="W59" t="s">
        <v>386</v>
      </c>
      <c r="X59" s="5" t="s">
        <v>506</v>
      </c>
    </row>
    <row r="60" spans="1:24" x14ac:dyDescent="0.3">
      <c r="A60">
        <v>59</v>
      </c>
      <c r="B60" t="s">
        <v>387</v>
      </c>
      <c r="C60" t="s">
        <v>366</v>
      </c>
      <c r="D60" t="s">
        <v>35</v>
      </c>
      <c r="E60" t="s">
        <v>20</v>
      </c>
      <c r="F60" s="4">
        <v>31.5</v>
      </c>
      <c r="G60" s="4">
        <v>11</v>
      </c>
      <c r="H60" s="4">
        <v>12</v>
      </c>
      <c r="I60" s="4">
        <v>6.5</v>
      </c>
      <c r="J60" s="4">
        <v>10</v>
      </c>
      <c r="K60" s="3">
        <f t="shared" si="5"/>
        <v>29</v>
      </c>
      <c r="L60" s="3">
        <f t="shared" si="6"/>
        <v>10.695187165775401</v>
      </c>
      <c r="M60" s="3">
        <f t="shared" si="7"/>
        <v>442.85</v>
      </c>
      <c r="N60" s="3">
        <f t="shared" si="8"/>
        <v>336.14920000000001</v>
      </c>
      <c r="O60" s="3">
        <f t="shared" si="9"/>
        <v>303.38920000000002</v>
      </c>
      <c r="P60" s="3"/>
      <c r="Q60" s="3"/>
      <c r="R60" s="1">
        <v>3400</v>
      </c>
      <c r="S60" t="s">
        <v>388</v>
      </c>
      <c r="T60" t="s">
        <v>389</v>
      </c>
      <c r="U60" t="s">
        <v>52</v>
      </c>
      <c r="V60" t="s">
        <v>390</v>
      </c>
      <c r="W60" t="s">
        <v>21</v>
      </c>
      <c r="X60" s="5" t="s">
        <v>537</v>
      </c>
    </row>
    <row r="61" spans="1:24" x14ac:dyDescent="0.3">
      <c r="A61">
        <v>60</v>
      </c>
      <c r="B61" t="s">
        <v>391</v>
      </c>
      <c r="C61" t="s">
        <v>366</v>
      </c>
      <c r="D61" t="s">
        <v>35</v>
      </c>
      <c r="E61" t="s">
        <v>20</v>
      </c>
      <c r="F61" s="4">
        <v>28</v>
      </c>
      <c r="G61" s="4">
        <v>36</v>
      </c>
      <c r="H61" s="4">
        <v>8</v>
      </c>
      <c r="I61" s="4">
        <v>8.5</v>
      </c>
      <c r="J61" s="4">
        <v>10</v>
      </c>
      <c r="K61" s="3">
        <f t="shared" si="5"/>
        <v>9.5</v>
      </c>
      <c r="L61" s="3">
        <f t="shared" si="6"/>
        <v>10.928961748633879</v>
      </c>
      <c r="M61" s="3">
        <f t="shared" si="7"/>
        <v>577.95000000000005</v>
      </c>
      <c r="N61" s="3">
        <f t="shared" si="8"/>
        <v>436.76597377049183</v>
      </c>
      <c r="O61" s="3">
        <f t="shared" si="9"/>
        <v>407.64597377049182</v>
      </c>
      <c r="P61" s="3"/>
      <c r="Q61" s="3"/>
      <c r="R61" s="1">
        <v>3662</v>
      </c>
      <c r="S61" t="s">
        <v>392</v>
      </c>
      <c r="T61" t="s">
        <v>393</v>
      </c>
      <c r="U61" t="s">
        <v>24</v>
      </c>
      <c r="V61" t="s">
        <v>394</v>
      </c>
      <c r="W61" t="s">
        <v>58</v>
      </c>
      <c r="X61" s="5" t="s">
        <v>538</v>
      </c>
    </row>
    <row r="62" spans="1:24" x14ac:dyDescent="0.3">
      <c r="A62">
        <v>61</v>
      </c>
      <c r="B62" t="s">
        <v>332</v>
      </c>
      <c r="C62" t="s">
        <v>314</v>
      </c>
      <c r="D62" t="s">
        <v>35</v>
      </c>
      <c r="E62" t="s">
        <v>22</v>
      </c>
      <c r="F62" s="4">
        <v>32</v>
      </c>
      <c r="G62" s="4">
        <v>8.5</v>
      </c>
      <c r="H62" s="4">
        <v>12</v>
      </c>
      <c r="I62" s="4">
        <v>8</v>
      </c>
      <c r="J62" s="4">
        <v>12</v>
      </c>
      <c r="K62" s="3">
        <f t="shared" si="5"/>
        <v>27.5</v>
      </c>
      <c r="L62" s="3">
        <f t="shared" si="6"/>
        <v>13.043478260869565</v>
      </c>
      <c r="M62" s="3">
        <f t="shared" si="7"/>
        <v>424.25</v>
      </c>
      <c r="N62" s="3">
        <f t="shared" si="8"/>
        <v>307.78415217391301</v>
      </c>
      <c r="O62" s="3">
        <f t="shared" si="9"/>
        <v>274.50415217391298</v>
      </c>
      <c r="P62" s="3"/>
      <c r="Q62" s="3"/>
      <c r="R62">
        <v>345</v>
      </c>
      <c r="S62" t="s">
        <v>348</v>
      </c>
      <c r="T62" t="s">
        <v>349</v>
      </c>
      <c r="U62" t="s">
        <v>21</v>
      </c>
      <c r="V62" t="s">
        <v>350</v>
      </c>
      <c r="W62" t="s">
        <v>351</v>
      </c>
      <c r="X62" s="5" t="s">
        <v>504</v>
      </c>
    </row>
    <row r="63" spans="1:24" x14ac:dyDescent="0.3">
      <c r="A63">
        <v>62</v>
      </c>
      <c r="B63" t="s">
        <v>352</v>
      </c>
      <c r="C63" t="s">
        <v>314</v>
      </c>
      <c r="D63" t="s">
        <v>35</v>
      </c>
      <c r="E63" t="s">
        <v>22</v>
      </c>
      <c r="F63" s="4">
        <v>29</v>
      </c>
      <c r="G63" s="4">
        <v>5.5</v>
      </c>
      <c r="H63" s="4">
        <v>12</v>
      </c>
      <c r="I63" s="4">
        <v>10</v>
      </c>
      <c r="J63" s="4">
        <v>12</v>
      </c>
      <c r="K63" s="3">
        <f t="shared" si="5"/>
        <v>31.5</v>
      </c>
      <c r="L63" s="3">
        <f t="shared" si="6"/>
        <v>13.333333333333334</v>
      </c>
      <c r="M63" s="3">
        <f t="shared" si="7"/>
        <v>395.35</v>
      </c>
      <c r="N63" s="3">
        <f t="shared" si="8"/>
        <v>285.17913333333337</v>
      </c>
      <c r="O63" s="3">
        <f t="shared" si="9"/>
        <v>255.01913333333337</v>
      </c>
      <c r="P63" s="3"/>
      <c r="Q63" s="3"/>
      <c r="R63">
        <v>327</v>
      </c>
      <c r="S63" t="s">
        <v>353</v>
      </c>
      <c r="T63" t="s">
        <v>354</v>
      </c>
      <c r="U63" t="s">
        <v>33</v>
      </c>
      <c r="V63" t="s">
        <v>355</v>
      </c>
      <c r="W63" t="s">
        <v>356</v>
      </c>
      <c r="X63" s="5" t="s">
        <v>507</v>
      </c>
    </row>
    <row r="64" spans="1:24" x14ac:dyDescent="0.3">
      <c r="A64">
        <v>63</v>
      </c>
      <c r="B64" t="s">
        <v>359</v>
      </c>
      <c r="C64" t="s">
        <v>314</v>
      </c>
      <c r="D64" t="s">
        <v>35</v>
      </c>
      <c r="E64" t="s">
        <v>360</v>
      </c>
      <c r="F64" s="4">
        <v>32</v>
      </c>
      <c r="G64" s="4">
        <v>5.15</v>
      </c>
      <c r="H64" s="4">
        <v>8</v>
      </c>
      <c r="I64" s="4">
        <v>8</v>
      </c>
      <c r="J64" s="4">
        <v>12</v>
      </c>
      <c r="K64" s="3">
        <f t="shared" si="5"/>
        <v>34.849999999999994</v>
      </c>
      <c r="L64" s="3">
        <f t="shared" si="6"/>
        <v>13.043478260869565</v>
      </c>
      <c r="M64" s="3">
        <f t="shared" si="7"/>
        <v>422.89499999999998</v>
      </c>
      <c r="N64" s="3">
        <f t="shared" si="8"/>
        <v>306.80112913043473</v>
      </c>
      <c r="O64" s="3">
        <f t="shared" si="9"/>
        <v>273.5211291304347</v>
      </c>
      <c r="P64" s="3"/>
      <c r="Q64" s="3"/>
      <c r="R64">
        <v>317</v>
      </c>
      <c r="S64" t="s">
        <v>361</v>
      </c>
      <c r="T64" t="s">
        <v>357</v>
      </c>
      <c r="U64" t="s">
        <v>21</v>
      </c>
      <c r="V64" t="s">
        <v>358</v>
      </c>
      <c r="W64" t="s">
        <v>362</v>
      </c>
      <c r="X64" s="5" t="s">
        <v>539</v>
      </c>
    </row>
    <row r="65" spans="1:24" x14ac:dyDescent="0.3">
      <c r="A65">
        <v>64</v>
      </c>
      <c r="B65" t="s">
        <v>132</v>
      </c>
      <c r="C65" t="s">
        <v>29</v>
      </c>
      <c r="D65" t="s">
        <v>35</v>
      </c>
      <c r="E65" t="s">
        <v>133</v>
      </c>
      <c r="F65" s="4">
        <v>24</v>
      </c>
      <c r="G65" s="4">
        <v>8</v>
      </c>
      <c r="H65" s="4">
        <v>9</v>
      </c>
      <c r="I65" s="4">
        <v>10</v>
      </c>
      <c r="J65" s="4">
        <v>5</v>
      </c>
      <c r="K65" s="3">
        <f t="shared" si="5"/>
        <v>44</v>
      </c>
      <c r="L65" s="3">
        <f t="shared" si="6"/>
        <v>5.5555555555555554</v>
      </c>
      <c r="M65" s="3">
        <f t="shared" si="7"/>
        <v>412.9</v>
      </c>
      <c r="N65" s="3">
        <f t="shared" si="8"/>
        <v>343.76218888888894</v>
      </c>
      <c r="O65" s="3">
        <f t="shared" si="9"/>
        <v>318.80218888888896</v>
      </c>
      <c r="P65" s="3"/>
      <c r="Q65" s="3"/>
      <c r="R65" s="3">
        <v>0</v>
      </c>
      <c r="S65" s="5" t="s">
        <v>134</v>
      </c>
      <c r="T65" s="5" t="s">
        <v>135</v>
      </c>
      <c r="U65" s="5" t="s">
        <v>53</v>
      </c>
      <c r="V65" s="5" t="s">
        <v>136</v>
      </c>
      <c r="W65" s="5" t="s">
        <v>137</v>
      </c>
      <c r="X65" s="5" t="s">
        <v>508</v>
      </c>
    </row>
    <row r="66" spans="1:24" x14ac:dyDescent="0.3">
      <c r="A66">
        <v>65</v>
      </c>
      <c r="B66" t="s">
        <v>138</v>
      </c>
      <c r="C66" t="s">
        <v>139</v>
      </c>
      <c r="D66" t="s">
        <v>35</v>
      </c>
      <c r="E66" t="s">
        <v>20</v>
      </c>
      <c r="F66" s="4">
        <v>30</v>
      </c>
      <c r="G66" s="4">
        <v>10</v>
      </c>
      <c r="H66" s="4">
        <v>8.3000000000000007</v>
      </c>
      <c r="I66" s="4">
        <v>12</v>
      </c>
      <c r="J66" s="4">
        <v>4</v>
      </c>
      <c r="K66" s="3">
        <f t="shared" si="5"/>
        <v>35.700000000000003</v>
      </c>
      <c r="L66" s="3">
        <f t="shared" si="6"/>
        <v>4.5454545454545459</v>
      </c>
      <c r="M66" s="3">
        <f t="shared" si="7"/>
        <v>427.77</v>
      </c>
      <c r="N66" s="3">
        <f t="shared" si="8"/>
        <v>362.32119</v>
      </c>
      <c r="O66" s="3">
        <f t="shared" si="9"/>
        <v>331.12119000000001</v>
      </c>
      <c r="P66" s="3"/>
      <c r="Q66" s="3"/>
      <c r="R66" s="3">
        <v>0</v>
      </c>
      <c r="S66" s="5" t="s">
        <v>140</v>
      </c>
      <c r="T66" s="5" t="s">
        <v>141</v>
      </c>
      <c r="U66" s="5" t="s">
        <v>142</v>
      </c>
      <c r="V66" s="5" t="s">
        <v>143</v>
      </c>
      <c r="W66" s="5" t="s">
        <v>144</v>
      </c>
      <c r="X66" s="5" t="s">
        <v>509</v>
      </c>
    </row>
    <row r="67" spans="1:24" x14ac:dyDescent="0.3">
      <c r="A67">
        <v>66</v>
      </c>
      <c r="B67" t="s">
        <v>138</v>
      </c>
      <c r="C67" t="s">
        <v>139</v>
      </c>
      <c r="D67" t="s">
        <v>35</v>
      </c>
      <c r="E67" t="s">
        <v>20</v>
      </c>
      <c r="F67" s="4">
        <v>30</v>
      </c>
      <c r="G67" s="4">
        <v>9</v>
      </c>
      <c r="H67" s="4">
        <v>8.5</v>
      </c>
      <c r="I67" s="4">
        <v>12</v>
      </c>
      <c r="J67" s="4">
        <v>4</v>
      </c>
      <c r="K67" s="3">
        <f t="shared" si="5"/>
        <v>36.5</v>
      </c>
      <c r="L67" s="3">
        <f t="shared" si="6"/>
        <v>4.5454545454545459</v>
      </c>
      <c r="M67" s="3">
        <f t="shared" si="7"/>
        <v>421.65</v>
      </c>
      <c r="N67" s="3">
        <f t="shared" si="8"/>
        <v>357.13754999999998</v>
      </c>
      <c r="O67" s="3">
        <f t="shared" si="9"/>
        <v>325.93754999999999</v>
      </c>
      <c r="P67" s="3"/>
      <c r="Q67" s="3"/>
      <c r="R67" s="3">
        <v>0</v>
      </c>
      <c r="S67" s="5" t="s">
        <v>145</v>
      </c>
      <c r="T67" s="5" t="s">
        <v>141</v>
      </c>
      <c r="U67" s="5" t="s">
        <v>142</v>
      </c>
      <c r="V67" s="5" t="s">
        <v>146</v>
      </c>
      <c r="W67" s="5" t="s">
        <v>147</v>
      </c>
      <c r="X67" s="5" t="s">
        <v>509</v>
      </c>
    </row>
    <row r="68" spans="1:24" x14ac:dyDescent="0.3">
      <c r="A68">
        <v>67</v>
      </c>
      <c r="B68" t="s">
        <v>148</v>
      </c>
      <c r="C68" t="s">
        <v>149</v>
      </c>
      <c r="D68" t="s">
        <v>35</v>
      </c>
      <c r="E68" t="s">
        <v>45</v>
      </c>
      <c r="F68" s="4">
        <v>24</v>
      </c>
      <c r="G68" s="4">
        <v>8</v>
      </c>
      <c r="H68" s="4">
        <v>10</v>
      </c>
      <c r="I68" s="4">
        <v>12</v>
      </c>
      <c r="J68" s="4">
        <v>4</v>
      </c>
      <c r="K68" s="3">
        <f t="shared" si="5"/>
        <v>42</v>
      </c>
      <c r="L68" s="3">
        <f t="shared" si="6"/>
        <v>4.5454545454545459</v>
      </c>
      <c r="M68" s="3">
        <f t="shared" si="7"/>
        <v>400.6</v>
      </c>
      <c r="N68" s="3">
        <f t="shared" si="8"/>
        <v>339.3082</v>
      </c>
      <c r="O68" s="3">
        <f t="shared" si="9"/>
        <v>314.34820000000002</v>
      </c>
      <c r="P68" s="3"/>
      <c r="Q68" s="3"/>
      <c r="R68" s="3">
        <v>0</v>
      </c>
      <c r="S68" s="5" t="s">
        <v>150</v>
      </c>
      <c r="T68" s="5" t="s">
        <v>151</v>
      </c>
      <c r="U68" s="5" t="s">
        <v>152</v>
      </c>
      <c r="V68" s="5" t="s">
        <v>153</v>
      </c>
      <c r="W68" s="5" t="s">
        <v>154</v>
      </c>
      <c r="X68" s="5" t="s">
        <v>540</v>
      </c>
    </row>
    <row r="69" spans="1:24" x14ac:dyDescent="0.3">
      <c r="A69">
        <v>68</v>
      </c>
      <c r="B69" t="s">
        <v>155</v>
      </c>
      <c r="C69" t="s">
        <v>314</v>
      </c>
      <c r="D69" t="s">
        <v>35</v>
      </c>
      <c r="E69" t="s">
        <v>45</v>
      </c>
      <c r="F69" s="4">
        <v>24</v>
      </c>
      <c r="G69" s="4">
        <v>8</v>
      </c>
      <c r="H69" s="4">
        <v>9</v>
      </c>
      <c r="I69" s="4">
        <v>10</v>
      </c>
      <c r="J69" s="4">
        <v>4</v>
      </c>
      <c r="K69" s="3">
        <f t="shared" si="5"/>
        <v>45</v>
      </c>
      <c r="L69" s="3">
        <f t="shared" si="6"/>
        <v>4.4444444444444446</v>
      </c>
      <c r="M69" s="3">
        <f t="shared" si="7"/>
        <v>412.9</v>
      </c>
      <c r="N69" s="3">
        <f t="shared" si="8"/>
        <v>350.32271111111112</v>
      </c>
      <c r="O69" s="3">
        <f t="shared" si="9"/>
        <v>325.36271111111114</v>
      </c>
      <c r="P69" s="3"/>
      <c r="Q69" s="3"/>
      <c r="R69" s="3">
        <v>0</v>
      </c>
      <c r="S69" s="5" t="s">
        <v>156</v>
      </c>
      <c r="T69" s="5" t="s">
        <v>157</v>
      </c>
      <c r="U69" s="5" t="s">
        <v>21</v>
      </c>
      <c r="V69" s="5" t="s">
        <v>158</v>
      </c>
      <c r="W69" s="5" t="s">
        <v>159</v>
      </c>
      <c r="X69" s="5" t="s">
        <v>510</v>
      </c>
    </row>
    <row r="70" spans="1:24" x14ac:dyDescent="0.3">
      <c r="A70">
        <v>69</v>
      </c>
      <c r="B70" t="s">
        <v>36</v>
      </c>
      <c r="C70" t="s">
        <v>37</v>
      </c>
      <c r="D70" t="s">
        <v>35</v>
      </c>
      <c r="E70" t="s">
        <v>20</v>
      </c>
      <c r="F70" s="4">
        <v>36</v>
      </c>
      <c r="G70" s="4">
        <v>13</v>
      </c>
      <c r="H70" s="4">
        <v>9.5</v>
      </c>
      <c r="I70" s="4">
        <v>12</v>
      </c>
      <c r="J70" s="4">
        <v>5</v>
      </c>
      <c r="K70" s="3">
        <f t="shared" si="5"/>
        <v>24.5</v>
      </c>
      <c r="L70" s="3">
        <f t="shared" si="6"/>
        <v>5.6818181818181817</v>
      </c>
      <c r="M70" s="3">
        <f t="shared" si="7"/>
        <v>448.35</v>
      </c>
      <c r="N70" s="3">
        <f t="shared" si="8"/>
        <v>372.46676250000002</v>
      </c>
      <c r="O70" s="3">
        <f t="shared" si="9"/>
        <v>335.02676250000002</v>
      </c>
      <c r="P70" s="3"/>
      <c r="Q70" s="3"/>
      <c r="R70" s="3">
        <v>0</v>
      </c>
      <c r="S70" s="5" t="s">
        <v>160</v>
      </c>
      <c r="T70" s="5" t="s">
        <v>161</v>
      </c>
      <c r="U70" s="5" t="s">
        <v>111</v>
      </c>
      <c r="V70" s="5" t="s">
        <v>162</v>
      </c>
      <c r="W70" s="5" t="s">
        <v>163</v>
      </c>
      <c r="X70" s="5" t="s">
        <v>541</v>
      </c>
    </row>
    <row r="71" spans="1:24" x14ac:dyDescent="0.3">
      <c r="A71">
        <v>70</v>
      </c>
      <c r="B71" t="s">
        <v>204</v>
      </c>
      <c r="C71" t="s">
        <v>34</v>
      </c>
      <c r="D71" t="s">
        <v>35</v>
      </c>
      <c r="E71" t="s">
        <v>205</v>
      </c>
      <c r="F71" s="4">
        <v>30</v>
      </c>
      <c r="G71" s="4">
        <v>12</v>
      </c>
      <c r="H71" s="4">
        <v>7</v>
      </c>
      <c r="I71" s="4">
        <v>10</v>
      </c>
      <c r="J71" s="4">
        <v>3</v>
      </c>
      <c r="K71" s="3">
        <f t="shared" si="5"/>
        <v>38</v>
      </c>
      <c r="L71" s="3">
        <f t="shared" si="6"/>
        <v>3.3333333333333335</v>
      </c>
      <c r="M71" s="3">
        <f t="shared" si="7"/>
        <v>451.9</v>
      </c>
      <c r="N71" s="3">
        <f t="shared" si="8"/>
        <v>390.59223333333335</v>
      </c>
      <c r="O71" s="3">
        <f t="shared" si="9"/>
        <v>359.39223333333337</v>
      </c>
      <c r="P71" s="3"/>
      <c r="Q71" s="3"/>
      <c r="R71" s="3">
        <v>0</v>
      </c>
      <c r="S71" s="5" t="s">
        <v>206</v>
      </c>
      <c r="T71" s="5" t="s">
        <v>207</v>
      </c>
      <c r="U71" s="5" t="s">
        <v>48</v>
      </c>
      <c r="V71" s="5" t="s">
        <v>208</v>
      </c>
      <c r="W71" s="5" t="s">
        <v>21</v>
      </c>
      <c r="X71" s="5" t="s">
        <v>542</v>
      </c>
    </row>
    <row r="72" spans="1:24" x14ac:dyDescent="0.3">
      <c r="A72">
        <v>71</v>
      </c>
      <c r="B72" t="s">
        <v>41</v>
      </c>
      <c r="C72" t="s">
        <v>40</v>
      </c>
      <c r="D72" t="s">
        <v>35</v>
      </c>
      <c r="E72" t="s">
        <v>209</v>
      </c>
      <c r="F72" s="4">
        <v>32</v>
      </c>
      <c r="G72" s="4">
        <v>15</v>
      </c>
      <c r="H72" s="4">
        <v>7.2</v>
      </c>
      <c r="I72" s="4">
        <v>7.5</v>
      </c>
      <c r="J72" s="4">
        <v>4.5999999999999996</v>
      </c>
      <c r="K72" s="3">
        <f t="shared" si="5"/>
        <v>33.700000000000003</v>
      </c>
      <c r="L72" s="3">
        <f t="shared" si="6"/>
        <v>4.9729729729729719</v>
      </c>
      <c r="M72" s="3">
        <f t="shared" si="7"/>
        <v>480.42999999999995</v>
      </c>
      <c r="N72" s="3">
        <f t="shared" si="8"/>
        <v>403.98709470270268</v>
      </c>
      <c r="O72" s="3">
        <f t="shared" si="9"/>
        <v>370.70709470270265</v>
      </c>
      <c r="P72" s="3"/>
      <c r="Q72" s="3"/>
      <c r="R72" s="3">
        <v>0</v>
      </c>
      <c r="S72" s="5" t="s">
        <v>210</v>
      </c>
      <c r="T72" s="5" t="s">
        <v>211</v>
      </c>
      <c r="U72" s="5" t="s">
        <v>31</v>
      </c>
      <c r="V72" s="5" t="s">
        <v>212</v>
      </c>
      <c r="W72" s="5" t="s">
        <v>21</v>
      </c>
      <c r="X72" s="5" t="s">
        <v>543</v>
      </c>
    </row>
    <row r="73" spans="1:24" x14ac:dyDescent="0.3">
      <c r="A73">
        <v>72</v>
      </c>
      <c r="B73" t="s">
        <v>39</v>
      </c>
      <c r="C73" t="s">
        <v>40</v>
      </c>
      <c r="D73" t="s">
        <v>35</v>
      </c>
      <c r="E73" t="s">
        <v>213</v>
      </c>
      <c r="F73" s="4">
        <v>37</v>
      </c>
      <c r="G73" s="4">
        <v>12</v>
      </c>
      <c r="H73" s="4">
        <v>8.1999999999999993</v>
      </c>
      <c r="I73" s="4">
        <v>8.1999999999999993</v>
      </c>
      <c r="J73" s="4">
        <v>6.2</v>
      </c>
      <c r="K73" s="3">
        <f t="shared" si="5"/>
        <v>28.399999999999991</v>
      </c>
      <c r="L73" s="3">
        <f t="shared" si="6"/>
        <v>6.7538126361655779</v>
      </c>
      <c r="M73" s="3">
        <f t="shared" si="7"/>
        <v>465.56</v>
      </c>
      <c r="N73" s="3">
        <f t="shared" si="8"/>
        <v>379.62715834422664</v>
      </c>
      <c r="O73" s="3">
        <f t="shared" si="9"/>
        <v>341.14715834422663</v>
      </c>
      <c r="P73" s="3"/>
      <c r="Q73" s="3"/>
      <c r="R73" s="3">
        <v>0</v>
      </c>
      <c r="S73" s="5" t="s">
        <v>214</v>
      </c>
      <c r="T73" s="5" t="s">
        <v>215</v>
      </c>
      <c r="U73" s="5" t="s">
        <v>31</v>
      </c>
      <c r="V73" s="5" t="s">
        <v>216</v>
      </c>
      <c r="W73" s="5" t="s">
        <v>21</v>
      </c>
      <c r="X73" s="5" t="s">
        <v>544</v>
      </c>
    </row>
    <row r="74" spans="1:24" x14ac:dyDescent="0.3">
      <c r="A74">
        <v>73</v>
      </c>
      <c r="B74" t="s">
        <v>217</v>
      </c>
      <c r="C74" t="s">
        <v>172</v>
      </c>
      <c r="D74" t="s">
        <v>35</v>
      </c>
      <c r="E74" t="s">
        <v>45</v>
      </c>
      <c r="F74" s="4">
        <v>32</v>
      </c>
      <c r="G74" s="4">
        <v>16</v>
      </c>
      <c r="H74" s="4">
        <v>8</v>
      </c>
      <c r="I74" s="4">
        <v>10</v>
      </c>
      <c r="J74" s="4">
        <v>3</v>
      </c>
      <c r="K74" s="3">
        <f t="shared" si="5"/>
        <v>31</v>
      </c>
      <c r="L74" s="3">
        <f t="shared" si="6"/>
        <v>3.3333333333333335</v>
      </c>
      <c r="M74" s="3">
        <f t="shared" si="7"/>
        <v>472.2</v>
      </c>
      <c r="N74" s="3">
        <f t="shared" si="8"/>
        <v>408.13819999999998</v>
      </c>
      <c r="O74" s="3">
        <f t="shared" si="9"/>
        <v>374.85820000000001</v>
      </c>
      <c r="P74" s="3"/>
      <c r="Q74" s="3"/>
      <c r="R74" s="3">
        <v>0</v>
      </c>
      <c r="S74" s="5" t="s">
        <v>218</v>
      </c>
      <c r="T74" s="5" t="s">
        <v>219</v>
      </c>
      <c r="U74" s="5" t="s">
        <v>75</v>
      </c>
      <c r="V74" s="5" t="s">
        <v>220</v>
      </c>
      <c r="W74" s="5" t="s">
        <v>221</v>
      </c>
      <c r="X74" s="5" t="s">
        <v>545</v>
      </c>
    </row>
    <row r="75" spans="1:24" x14ac:dyDescent="0.3">
      <c r="A75">
        <v>74</v>
      </c>
      <c r="B75" t="s">
        <v>217</v>
      </c>
      <c r="C75" t="s">
        <v>172</v>
      </c>
      <c r="D75" t="s">
        <v>35</v>
      </c>
      <c r="E75" t="s">
        <v>45</v>
      </c>
      <c r="F75" s="4">
        <v>42</v>
      </c>
      <c r="G75" s="4">
        <v>18</v>
      </c>
      <c r="H75" s="4">
        <v>8.3000000000000007</v>
      </c>
      <c r="I75" s="4">
        <v>10</v>
      </c>
      <c r="J75" s="4">
        <v>3</v>
      </c>
      <c r="K75" s="3">
        <f t="shared" si="5"/>
        <v>18.700000000000003</v>
      </c>
      <c r="L75" s="3">
        <f t="shared" si="6"/>
        <v>3.3333333333333335</v>
      </c>
      <c r="M75" s="3">
        <f t="shared" si="7"/>
        <v>497.57000000000005</v>
      </c>
      <c r="N75" s="3">
        <f t="shared" si="8"/>
        <v>430.06633666666676</v>
      </c>
      <c r="O75" s="3">
        <f t="shared" si="9"/>
        <v>386.38633666666675</v>
      </c>
      <c r="P75" s="3"/>
      <c r="Q75" s="3"/>
      <c r="R75" s="3">
        <v>0</v>
      </c>
      <c r="S75" s="5" t="s">
        <v>222</v>
      </c>
      <c r="T75" s="5" t="s">
        <v>223</v>
      </c>
      <c r="U75" s="5" t="s">
        <v>54</v>
      </c>
      <c r="V75" s="5" t="s">
        <v>224</v>
      </c>
      <c r="W75" s="5" t="s">
        <v>56</v>
      </c>
      <c r="X75" s="5" t="s">
        <v>545</v>
      </c>
    </row>
    <row r="76" spans="1:24" x14ac:dyDescent="0.3">
      <c r="A76">
        <v>75</v>
      </c>
      <c r="B76" t="s">
        <v>225</v>
      </c>
      <c r="C76" t="s">
        <v>226</v>
      </c>
      <c r="D76" t="s">
        <v>35</v>
      </c>
      <c r="E76" t="s">
        <v>227</v>
      </c>
      <c r="F76" s="4">
        <v>33</v>
      </c>
      <c r="G76" s="4">
        <v>12</v>
      </c>
      <c r="H76" s="4">
        <v>8</v>
      </c>
      <c r="I76" s="4">
        <v>8</v>
      </c>
      <c r="J76" s="4">
        <v>4</v>
      </c>
      <c r="K76" s="3">
        <f t="shared" si="5"/>
        <v>35</v>
      </c>
      <c r="L76" s="3">
        <f t="shared" si="6"/>
        <v>4.3478260869565215</v>
      </c>
      <c r="M76" s="3">
        <f t="shared" si="7"/>
        <v>460.79999999999995</v>
      </c>
      <c r="N76" s="3">
        <f t="shared" si="8"/>
        <v>391.59986086956519</v>
      </c>
      <c r="O76" s="3">
        <f t="shared" si="9"/>
        <v>357.2798608695652</v>
      </c>
      <c r="P76" s="3"/>
      <c r="Q76" s="3"/>
      <c r="R76" s="3">
        <v>0</v>
      </c>
      <c r="S76" s="5" t="s">
        <v>228</v>
      </c>
      <c r="T76" s="5" t="s">
        <v>229</v>
      </c>
      <c r="U76" s="5" t="s">
        <v>54</v>
      </c>
      <c r="V76" s="5" t="s">
        <v>230</v>
      </c>
      <c r="W76" s="5" t="s">
        <v>50</v>
      </c>
      <c r="X76" s="5" t="s">
        <v>546</v>
      </c>
    </row>
    <row r="77" spans="1:24" x14ac:dyDescent="0.3">
      <c r="A77">
        <v>76</v>
      </c>
      <c r="B77" t="s">
        <v>38</v>
      </c>
      <c r="C77" t="s">
        <v>314</v>
      </c>
      <c r="D77" t="s">
        <v>35</v>
      </c>
      <c r="E77" t="s">
        <v>231</v>
      </c>
      <c r="F77" s="4">
        <v>36</v>
      </c>
      <c r="G77" s="4">
        <v>14</v>
      </c>
      <c r="H77" s="4">
        <v>9</v>
      </c>
      <c r="I77" s="4">
        <v>10</v>
      </c>
      <c r="J77" s="4">
        <v>4</v>
      </c>
      <c r="K77" s="3">
        <f t="shared" si="5"/>
        <v>27</v>
      </c>
      <c r="L77" s="3">
        <f t="shared" si="6"/>
        <v>4.4444444444444446</v>
      </c>
      <c r="M77" s="3">
        <f t="shared" si="7"/>
        <v>463.9</v>
      </c>
      <c r="N77" s="3">
        <f t="shared" si="8"/>
        <v>393.59337777777779</v>
      </c>
      <c r="O77" s="3">
        <f t="shared" si="9"/>
        <v>356.15337777777779</v>
      </c>
      <c r="P77" s="3"/>
      <c r="Q77" s="3"/>
      <c r="R77" s="3">
        <v>0</v>
      </c>
      <c r="S77" s="5" t="s">
        <v>232</v>
      </c>
      <c r="T77" s="5" t="s">
        <v>69</v>
      </c>
      <c r="U77" s="5" t="s">
        <v>33</v>
      </c>
      <c r="V77" s="5" t="s">
        <v>70</v>
      </c>
      <c r="W77" s="5" t="s">
        <v>56</v>
      </c>
      <c r="X77" s="5" t="s">
        <v>511</v>
      </c>
    </row>
    <row r="78" spans="1:24" x14ac:dyDescent="0.3">
      <c r="A78">
        <v>77</v>
      </c>
      <c r="B78" t="s">
        <v>38</v>
      </c>
      <c r="C78" t="s">
        <v>314</v>
      </c>
      <c r="D78" t="s">
        <v>35</v>
      </c>
      <c r="E78" t="s">
        <v>233</v>
      </c>
      <c r="F78" s="4">
        <v>37</v>
      </c>
      <c r="G78" s="4">
        <v>12</v>
      </c>
      <c r="H78" s="4">
        <v>9</v>
      </c>
      <c r="I78" s="4">
        <v>10</v>
      </c>
      <c r="J78" s="4">
        <v>4</v>
      </c>
      <c r="K78" s="3">
        <f t="shared" si="5"/>
        <v>28</v>
      </c>
      <c r="L78" s="3">
        <f t="shared" si="6"/>
        <v>4.4444444444444446</v>
      </c>
      <c r="M78" s="3">
        <f t="shared" si="7"/>
        <v>454.90000000000003</v>
      </c>
      <c r="N78" s="3">
        <f t="shared" si="8"/>
        <v>385.95737777777782</v>
      </c>
      <c r="O78" s="3">
        <f t="shared" si="9"/>
        <v>347.4773777777778</v>
      </c>
      <c r="P78" s="3"/>
      <c r="Q78" s="3"/>
      <c r="R78" s="3">
        <v>0</v>
      </c>
      <c r="S78" s="5" t="s">
        <v>234</v>
      </c>
      <c r="T78" s="5" t="s">
        <v>235</v>
      </c>
      <c r="U78" s="5" t="s">
        <v>48</v>
      </c>
      <c r="V78" s="5" t="s">
        <v>49</v>
      </c>
      <c r="W78" s="5" t="s">
        <v>21</v>
      </c>
      <c r="X78" s="5" t="s">
        <v>511</v>
      </c>
    </row>
    <row r="79" spans="1:24" x14ac:dyDescent="0.3">
      <c r="A79">
        <v>78</v>
      </c>
      <c r="B79" t="s">
        <v>295</v>
      </c>
      <c r="C79" t="s">
        <v>265</v>
      </c>
      <c r="D79" t="s">
        <v>35</v>
      </c>
      <c r="E79" t="s">
        <v>296</v>
      </c>
      <c r="F79" s="4">
        <v>25</v>
      </c>
      <c r="G79" s="4">
        <v>20</v>
      </c>
      <c r="H79" s="4">
        <v>6</v>
      </c>
      <c r="I79" s="4">
        <v>10</v>
      </c>
      <c r="J79" s="4">
        <v>3.5</v>
      </c>
      <c r="K79" s="3">
        <f t="shared" si="5"/>
        <v>35.5</v>
      </c>
      <c r="L79" s="3">
        <f t="shared" si="6"/>
        <v>3.8888888888888888</v>
      </c>
      <c r="M79" s="3">
        <f t="shared" si="7"/>
        <v>490.4</v>
      </c>
      <c r="N79" s="3">
        <f t="shared" si="8"/>
        <v>419.97311111111105</v>
      </c>
      <c r="O79" s="3">
        <f t="shared" si="9"/>
        <v>393.97311111111105</v>
      </c>
      <c r="P79" s="3"/>
      <c r="Q79" s="3"/>
      <c r="R79" s="3">
        <v>0</v>
      </c>
      <c r="S79" s="5" t="s">
        <v>297</v>
      </c>
      <c r="T79" s="5" t="s">
        <v>298</v>
      </c>
      <c r="U79" s="5" t="s">
        <v>21</v>
      </c>
      <c r="V79" s="5" t="s">
        <v>299</v>
      </c>
      <c r="W79" s="5" t="s">
        <v>21</v>
      </c>
      <c r="X79" s="5" t="s">
        <v>547</v>
      </c>
    </row>
    <row r="80" spans="1:24" x14ac:dyDescent="0.3">
      <c r="A80">
        <v>79</v>
      </c>
      <c r="B80" t="s">
        <v>300</v>
      </c>
      <c r="C80" t="s">
        <v>248</v>
      </c>
      <c r="D80" t="s">
        <v>35</v>
      </c>
      <c r="E80" t="s">
        <v>301</v>
      </c>
      <c r="F80" s="4">
        <v>33</v>
      </c>
      <c r="G80" s="4">
        <v>15</v>
      </c>
      <c r="H80" s="4">
        <v>8</v>
      </c>
      <c r="I80" s="4">
        <v>8</v>
      </c>
      <c r="J80" s="4">
        <v>5</v>
      </c>
      <c r="K80" s="3">
        <f t="shared" si="5"/>
        <v>31</v>
      </c>
      <c r="L80" s="3">
        <f t="shared" si="6"/>
        <v>5.4347826086956523</v>
      </c>
      <c r="M80" s="3">
        <f t="shared" si="7"/>
        <v>476.70000000000005</v>
      </c>
      <c r="N80" s="3">
        <f t="shared" si="8"/>
        <v>397.70251956521747</v>
      </c>
      <c r="O80" s="3">
        <f t="shared" si="9"/>
        <v>363.38251956521748</v>
      </c>
      <c r="P80" s="3"/>
      <c r="Q80" s="3"/>
      <c r="R80" s="3">
        <v>0</v>
      </c>
      <c r="S80" s="5" t="s">
        <v>302</v>
      </c>
      <c r="T80" s="5" t="s">
        <v>71</v>
      </c>
      <c r="U80" s="5" t="s">
        <v>33</v>
      </c>
      <c r="V80" s="5" t="s">
        <v>72</v>
      </c>
      <c r="W80" s="5" t="s">
        <v>21</v>
      </c>
      <c r="X80" s="5" t="s">
        <v>548</v>
      </c>
    </row>
    <row r="81" spans="1:24" x14ac:dyDescent="0.3">
      <c r="A81">
        <v>80</v>
      </c>
      <c r="B81" t="s">
        <v>303</v>
      </c>
      <c r="C81" t="s">
        <v>304</v>
      </c>
      <c r="D81" t="s">
        <v>35</v>
      </c>
      <c r="E81" t="s">
        <v>231</v>
      </c>
      <c r="F81" s="4">
        <v>31</v>
      </c>
      <c r="G81" s="4">
        <v>15</v>
      </c>
      <c r="H81" s="4">
        <v>6.5</v>
      </c>
      <c r="I81" s="4">
        <v>10</v>
      </c>
      <c r="J81" s="4">
        <v>2.5</v>
      </c>
      <c r="K81" s="3">
        <f t="shared" si="5"/>
        <v>35</v>
      </c>
      <c r="L81" s="3">
        <f t="shared" si="6"/>
        <v>2.7777777777777777</v>
      </c>
      <c r="M81" s="3">
        <f t="shared" si="7"/>
        <v>471.45000000000005</v>
      </c>
      <c r="N81" s="3">
        <f t="shared" si="8"/>
        <v>411.23535833333335</v>
      </c>
      <c r="O81" s="3">
        <f t="shared" si="9"/>
        <v>378.99535833333334</v>
      </c>
      <c r="P81" s="3"/>
      <c r="Q81" s="3"/>
      <c r="R81" s="3">
        <v>0</v>
      </c>
      <c r="S81" s="5" t="s">
        <v>305</v>
      </c>
      <c r="T81" s="5" t="s">
        <v>306</v>
      </c>
      <c r="U81" s="5" t="s">
        <v>24</v>
      </c>
      <c r="V81" s="5" t="s">
        <v>307</v>
      </c>
      <c r="W81" s="5" t="s">
        <v>21</v>
      </c>
      <c r="X81" s="5" t="s">
        <v>512</v>
      </c>
    </row>
    <row r="82" spans="1:24" x14ac:dyDescent="0.3">
      <c r="A82">
        <v>81</v>
      </c>
      <c r="B82" t="s">
        <v>308</v>
      </c>
      <c r="C82" t="s">
        <v>139</v>
      </c>
      <c r="D82" t="s">
        <v>35</v>
      </c>
      <c r="E82" t="s">
        <v>309</v>
      </c>
      <c r="F82" s="4">
        <v>34.5</v>
      </c>
      <c r="G82" s="4">
        <v>15</v>
      </c>
      <c r="H82" s="4">
        <v>8.9</v>
      </c>
      <c r="I82" s="4">
        <v>7.5</v>
      </c>
      <c r="J82" s="4">
        <v>2.9</v>
      </c>
      <c r="K82" s="3">
        <f t="shared" si="5"/>
        <v>31.199999999999989</v>
      </c>
      <c r="L82" s="3">
        <f t="shared" si="6"/>
        <v>3.1351351351351351</v>
      </c>
      <c r="M82" s="3">
        <f t="shared" si="7"/>
        <v>477.45999999999992</v>
      </c>
      <c r="N82" s="3">
        <f t="shared" si="8"/>
        <v>414.03782681081083</v>
      </c>
      <c r="O82" s="3">
        <f t="shared" si="9"/>
        <v>378.15782681081083</v>
      </c>
      <c r="P82" s="3"/>
      <c r="Q82" s="3"/>
      <c r="R82" s="3">
        <v>0</v>
      </c>
      <c r="S82" s="5" t="s">
        <v>310</v>
      </c>
      <c r="T82" s="5" t="s">
        <v>311</v>
      </c>
      <c r="U82" s="5" t="s">
        <v>68</v>
      </c>
      <c r="V82" s="5" t="s">
        <v>312</v>
      </c>
      <c r="W82" s="5" t="s">
        <v>57</v>
      </c>
      <c r="X82" s="5" t="s">
        <v>549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comercial_diets_ecuador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2026-07-03T18:10:50Z</dcterms:modified>
</cp:coreProperties>
</file>